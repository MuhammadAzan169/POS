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&amp;Desk\Desktop\"/>
    </mc:Choice>
  </mc:AlternateContent>
  <xr:revisionPtr revIDLastSave="0" documentId="13_ncr:1_{9A4D8FE8-E010-406A-82A0-F8E28CF6F5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" sheetId="11" r:id="rId1"/>
    <sheet name="Products" sheetId="2" r:id="rId2"/>
    <sheet name="Customers" sheetId="3" r:id="rId3"/>
    <sheet name="Suppliers" sheetId="4" r:id="rId4"/>
    <sheet name="Sales" sheetId="5" r:id="rId5"/>
    <sheet name="Purchases" sheetId="6" r:id="rId6"/>
    <sheet name="Inventory" sheetId="7" r:id="rId7"/>
    <sheet name="Thermal_Receipt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7" l="1"/>
  <c r="B18" i="7"/>
  <c r="B26" i="7"/>
  <c r="B34" i="7"/>
  <c r="B42" i="7"/>
  <c r="B50" i="7"/>
  <c r="B58" i="7"/>
  <c r="B66" i="7"/>
  <c r="B74" i="7"/>
  <c r="B82" i="7"/>
  <c r="B90" i="7"/>
  <c r="B98" i="7"/>
  <c r="B106" i="7"/>
  <c r="B114" i="7"/>
  <c r="B122" i="7"/>
  <c r="B130" i="7"/>
  <c r="B138" i="7"/>
  <c r="B146" i="7"/>
  <c r="B154" i="7"/>
  <c r="B162" i="7"/>
  <c r="B170" i="7"/>
  <c r="B178" i="7"/>
  <c r="B186" i="7"/>
  <c r="B194" i="7"/>
  <c r="B202" i="7"/>
  <c r="B210" i="7"/>
  <c r="B218" i="7"/>
  <c r="B226" i="7"/>
  <c r="B234" i="7"/>
  <c r="B242" i="7"/>
  <c r="B250" i="7"/>
  <c r="B258" i="7"/>
  <c r="B266" i="7"/>
  <c r="B274" i="7"/>
  <c r="B282" i="7"/>
  <c r="B289" i="7"/>
  <c r="B290" i="7"/>
  <c r="B297" i="7"/>
  <c r="B298" i="7"/>
  <c r="D4" i="7"/>
  <c r="D6" i="7"/>
  <c r="E2" i="7"/>
  <c r="N3" i="6"/>
  <c r="O3" i="6" s="1"/>
  <c r="N4" i="6"/>
  <c r="O4" i="6" s="1"/>
  <c r="N5" i="6"/>
  <c r="O5" i="6" s="1"/>
  <c r="N2" i="6"/>
  <c r="O2" i="6" s="1"/>
  <c r="L2" i="6"/>
  <c r="K2" i="6"/>
  <c r="J2" i="6"/>
  <c r="I2" i="6"/>
  <c r="H2" i="6"/>
  <c r="H3" i="6"/>
  <c r="I3" i="6" s="1"/>
  <c r="J3" i="6" s="1"/>
  <c r="K3" i="6" s="1"/>
  <c r="L3" i="6" s="1"/>
  <c r="H4" i="6"/>
  <c r="I4" i="6" s="1"/>
  <c r="J4" i="6" s="1"/>
  <c r="K4" i="6" s="1"/>
  <c r="L4" i="6" s="1"/>
  <c r="H5" i="6"/>
  <c r="I5" i="6" s="1"/>
  <c r="J5" i="6" s="1"/>
  <c r="K5" i="6" s="1"/>
  <c r="L5" i="6" s="1"/>
  <c r="F3" i="6"/>
  <c r="F4" i="6"/>
  <c r="F5" i="6"/>
  <c r="F2" i="6"/>
  <c r="G300" i="7"/>
  <c r="A300" i="7"/>
  <c r="I300" i="7" s="1"/>
  <c r="G299" i="7"/>
  <c r="A299" i="7"/>
  <c r="B299" i="7" s="1"/>
  <c r="G298" i="7"/>
  <c r="A298" i="7"/>
  <c r="I298" i="7" s="1"/>
  <c r="G297" i="7"/>
  <c r="A297" i="7"/>
  <c r="G296" i="7"/>
  <c r="A296" i="7"/>
  <c r="B296" i="7" s="1"/>
  <c r="G295" i="7"/>
  <c r="A295" i="7"/>
  <c r="I295" i="7" s="1"/>
  <c r="G294" i="7"/>
  <c r="A294" i="7"/>
  <c r="I294" i="7" s="1"/>
  <c r="G293" i="7"/>
  <c r="A293" i="7"/>
  <c r="I293" i="7" s="1"/>
  <c r="G292" i="7"/>
  <c r="A292" i="7"/>
  <c r="I292" i="7" s="1"/>
  <c r="G291" i="7"/>
  <c r="A291" i="7"/>
  <c r="I291" i="7" s="1"/>
  <c r="G290" i="7"/>
  <c r="A290" i="7"/>
  <c r="I289" i="7"/>
  <c r="G289" i="7"/>
  <c r="A289" i="7"/>
  <c r="G288" i="7"/>
  <c r="A288" i="7"/>
  <c r="B288" i="7" s="1"/>
  <c r="G287" i="7"/>
  <c r="A287" i="7"/>
  <c r="B287" i="7" s="1"/>
  <c r="G286" i="7"/>
  <c r="A286" i="7"/>
  <c r="I286" i="7" s="1"/>
  <c r="G285" i="7"/>
  <c r="A285" i="7"/>
  <c r="I285" i="7" s="1"/>
  <c r="G284" i="7"/>
  <c r="A284" i="7"/>
  <c r="I284" i="7" s="1"/>
  <c r="G283" i="7"/>
  <c r="A283" i="7"/>
  <c r="I283" i="7" s="1"/>
  <c r="G282" i="7"/>
  <c r="A282" i="7"/>
  <c r="G281" i="7"/>
  <c r="A281" i="7"/>
  <c r="I281" i="7" s="1"/>
  <c r="G280" i="7"/>
  <c r="A280" i="7"/>
  <c r="B280" i="7" s="1"/>
  <c r="G279" i="7"/>
  <c r="A279" i="7"/>
  <c r="B279" i="7" s="1"/>
  <c r="G278" i="7"/>
  <c r="A278" i="7"/>
  <c r="I278" i="7" s="1"/>
  <c r="G277" i="7"/>
  <c r="A277" i="7"/>
  <c r="I277" i="7" s="1"/>
  <c r="G276" i="7"/>
  <c r="A276" i="7"/>
  <c r="I276" i="7" s="1"/>
  <c r="G275" i="7"/>
  <c r="A275" i="7"/>
  <c r="I275" i="7" s="1"/>
  <c r="G274" i="7"/>
  <c r="A274" i="7"/>
  <c r="G273" i="7"/>
  <c r="A273" i="7"/>
  <c r="I273" i="7" s="1"/>
  <c r="G272" i="7"/>
  <c r="A272" i="7"/>
  <c r="B272" i="7" s="1"/>
  <c r="G271" i="7"/>
  <c r="A271" i="7"/>
  <c r="B271" i="7" s="1"/>
  <c r="I270" i="7"/>
  <c r="G270" i="7"/>
  <c r="A270" i="7"/>
  <c r="B270" i="7" s="1"/>
  <c r="G269" i="7"/>
  <c r="A269" i="7"/>
  <c r="I269" i="7" s="1"/>
  <c r="G268" i="7"/>
  <c r="A268" i="7"/>
  <c r="B268" i="7" s="1"/>
  <c r="I267" i="7"/>
  <c r="G267" i="7"/>
  <c r="A267" i="7"/>
  <c r="B267" i="7" s="1"/>
  <c r="G266" i="7"/>
  <c r="A266" i="7"/>
  <c r="G265" i="7"/>
  <c r="A265" i="7"/>
  <c r="I265" i="7" s="1"/>
  <c r="G264" i="7"/>
  <c r="A264" i="7"/>
  <c r="B264" i="7" s="1"/>
  <c r="G263" i="7"/>
  <c r="A263" i="7"/>
  <c r="B263" i="7" s="1"/>
  <c r="G262" i="7"/>
  <c r="A262" i="7"/>
  <c r="I262" i="7" s="1"/>
  <c r="G261" i="7"/>
  <c r="A261" i="7"/>
  <c r="I261" i="7" s="1"/>
  <c r="G260" i="7"/>
  <c r="A260" i="7"/>
  <c r="I260" i="7" s="1"/>
  <c r="G259" i="7"/>
  <c r="A259" i="7"/>
  <c r="I259" i="7" s="1"/>
  <c r="G258" i="7"/>
  <c r="A258" i="7"/>
  <c r="G257" i="7"/>
  <c r="A257" i="7"/>
  <c r="I257" i="7" s="1"/>
  <c r="G256" i="7"/>
  <c r="A256" i="7"/>
  <c r="B256" i="7" s="1"/>
  <c r="G255" i="7"/>
  <c r="A255" i="7"/>
  <c r="B255" i="7" s="1"/>
  <c r="G254" i="7"/>
  <c r="A254" i="7"/>
  <c r="I254" i="7" s="1"/>
  <c r="G253" i="7"/>
  <c r="A253" i="7"/>
  <c r="I253" i="7" s="1"/>
  <c r="G252" i="7"/>
  <c r="A252" i="7"/>
  <c r="I252" i="7" s="1"/>
  <c r="G251" i="7"/>
  <c r="A251" i="7"/>
  <c r="I251" i="7" s="1"/>
  <c r="G250" i="7"/>
  <c r="A250" i="7"/>
  <c r="G249" i="7"/>
  <c r="A249" i="7"/>
  <c r="I249" i="7" s="1"/>
  <c r="G248" i="7"/>
  <c r="A248" i="7"/>
  <c r="B248" i="7" s="1"/>
  <c r="G247" i="7"/>
  <c r="A247" i="7"/>
  <c r="B247" i="7" s="1"/>
  <c r="G246" i="7"/>
  <c r="A246" i="7"/>
  <c r="I246" i="7" s="1"/>
  <c r="G245" i="7"/>
  <c r="A245" i="7"/>
  <c r="I245" i="7" s="1"/>
  <c r="G244" i="7"/>
  <c r="A244" i="7"/>
  <c r="I244" i="7" s="1"/>
  <c r="G243" i="7"/>
  <c r="A243" i="7"/>
  <c r="I243" i="7" s="1"/>
  <c r="G242" i="7"/>
  <c r="A242" i="7"/>
  <c r="G241" i="7"/>
  <c r="A241" i="7"/>
  <c r="I241" i="7" s="1"/>
  <c r="G240" i="7"/>
  <c r="A240" i="7"/>
  <c r="B240" i="7" s="1"/>
  <c r="G239" i="7"/>
  <c r="A239" i="7"/>
  <c r="B239" i="7" s="1"/>
  <c r="I238" i="7"/>
  <c r="G238" i="7"/>
  <c r="A238" i="7"/>
  <c r="B238" i="7" s="1"/>
  <c r="G237" i="7"/>
  <c r="A237" i="7"/>
  <c r="I237" i="7" s="1"/>
  <c r="G236" i="7"/>
  <c r="A236" i="7"/>
  <c r="I236" i="7" s="1"/>
  <c r="G235" i="7"/>
  <c r="A235" i="7"/>
  <c r="I235" i="7" s="1"/>
  <c r="G234" i="7"/>
  <c r="A234" i="7"/>
  <c r="G233" i="7"/>
  <c r="A233" i="7"/>
  <c r="I233" i="7" s="1"/>
  <c r="G232" i="7"/>
  <c r="A232" i="7"/>
  <c r="B232" i="7" s="1"/>
  <c r="G231" i="7"/>
  <c r="A231" i="7"/>
  <c r="B231" i="7" s="1"/>
  <c r="G230" i="7"/>
  <c r="A230" i="7"/>
  <c r="I230" i="7" s="1"/>
  <c r="G229" i="7"/>
  <c r="A229" i="7"/>
  <c r="I229" i="7" s="1"/>
  <c r="G228" i="7"/>
  <c r="A228" i="7"/>
  <c r="I228" i="7" s="1"/>
  <c r="G227" i="7"/>
  <c r="A227" i="7"/>
  <c r="I227" i="7" s="1"/>
  <c r="G226" i="7"/>
  <c r="A226" i="7"/>
  <c r="I225" i="7"/>
  <c r="G225" i="7"/>
  <c r="A225" i="7"/>
  <c r="B225" i="7" s="1"/>
  <c r="G224" i="7"/>
  <c r="A224" i="7"/>
  <c r="B224" i="7" s="1"/>
  <c r="G223" i="7"/>
  <c r="A223" i="7"/>
  <c r="B223" i="7" s="1"/>
  <c r="G222" i="7"/>
  <c r="A222" i="7"/>
  <c r="I222" i="7" s="1"/>
  <c r="G221" i="7"/>
  <c r="A221" i="7"/>
  <c r="I221" i="7" s="1"/>
  <c r="G220" i="7"/>
  <c r="A220" i="7"/>
  <c r="I220" i="7" s="1"/>
  <c r="G219" i="7"/>
  <c r="A219" i="7"/>
  <c r="I219" i="7" s="1"/>
  <c r="G218" i="7"/>
  <c r="A218" i="7"/>
  <c r="G217" i="7"/>
  <c r="A217" i="7"/>
  <c r="I217" i="7" s="1"/>
  <c r="G216" i="7"/>
  <c r="A216" i="7"/>
  <c r="B216" i="7" s="1"/>
  <c r="G215" i="7"/>
  <c r="A215" i="7"/>
  <c r="B215" i="7" s="1"/>
  <c r="G214" i="7"/>
  <c r="A214" i="7"/>
  <c r="I214" i="7" s="1"/>
  <c r="G213" i="7"/>
  <c r="A213" i="7"/>
  <c r="I213" i="7" s="1"/>
  <c r="G212" i="7"/>
  <c r="A212" i="7"/>
  <c r="I212" i="7" s="1"/>
  <c r="G211" i="7"/>
  <c r="A211" i="7"/>
  <c r="I211" i="7" s="1"/>
  <c r="G210" i="7"/>
  <c r="A210" i="7"/>
  <c r="G209" i="7"/>
  <c r="A209" i="7"/>
  <c r="I209" i="7" s="1"/>
  <c r="G208" i="7"/>
  <c r="A208" i="7"/>
  <c r="B208" i="7" s="1"/>
  <c r="G207" i="7"/>
  <c r="A207" i="7"/>
  <c r="B207" i="7" s="1"/>
  <c r="G206" i="7"/>
  <c r="A206" i="7"/>
  <c r="I206" i="7" s="1"/>
  <c r="G205" i="7"/>
  <c r="A205" i="7"/>
  <c r="I205" i="7" s="1"/>
  <c r="G204" i="7"/>
  <c r="A204" i="7"/>
  <c r="I204" i="7" s="1"/>
  <c r="G203" i="7"/>
  <c r="A203" i="7"/>
  <c r="I203" i="7" s="1"/>
  <c r="G202" i="7"/>
  <c r="A202" i="7"/>
  <c r="G201" i="7"/>
  <c r="A201" i="7"/>
  <c r="I201" i="7" s="1"/>
  <c r="G200" i="7"/>
  <c r="A200" i="7"/>
  <c r="B200" i="7" s="1"/>
  <c r="G199" i="7"/>
  <c r="A199" i="7"/>
  <c r="B199" i="7" s="1"/>
  <c r="G198" i="7"/>
  <c r="A198" i="7"/>
  <c r="I198" i="7" s="1"/>
  <c r="G197" i="7"/>
  <c r="A197" i="7"/>
  <c r="I197" i="7" s="1"/>
  <c r="G196" i="7"/>
  <c r="A196" i="7"/>
  <c r="I196" i="7" s="1"/>
  <c r="G195" i="7"/>
  <c r="A195" i="7"/>
  <c r="I195" i="7" s="1"/>
  <c r="G194" i="7"/>
  <c r="A194" i="7"/>
  <c r="G193" i="7"/>
  <c r="A193" i="7"/>
  <c r="I193" i="7" s="1"/>
  <c r="G192" i="7"/>
  <c r="A192" i="7"/>
  <c r="B192" i="7" s="1"/>
  <c r="G191" i="7"/>
  <c r="A191" i="7"/>
  <c r="B191" i="7" s="1"/>
  <c r="G190" i="7"/>
  <c r="A190" i="7"/>
  <c r="I190" i="7" s="1"/>
  <c r="G189" i="7"/>
  <c r="A189" i="7"/>
  <c r="I189" i="7" s="1"/>
  <c r="G188" i="7"/>
  <c r="A188" i="7"/>
  <c r="I188" i="7" s="1"/>
  <c r="G187" i="7"/>
  <c r="A187" i="7"/>
  <c r="B187" i="7" s="1"/>
  <c r="G186" i="7"/>
  <c r="A186" i="7"/>
  <c r="G185" i="7"/>
  <c r="A185" i="7"/>
  <c r="I185" i="7" s="1"/>
  <c r="G184" i="7"/>
  <c r="A184" i="7"/>
  <c r="B184" i="7" s="1"/>
  <c r="G183" i="7"/>
  <c r="A183" i="7"/>
  <c r="B183" i="7" s="1"/>
  <c r="G182" i="7"/>
  <c r="A182" i="7"/>
  <c r="B182" i="7" s="1"/>
  <c r="G181" i="7"/>
  <c r="A181" i="7"/>
  <c r="I181" i="7" s="1"/>
  <c r="G180" i="7"/>
  <c r="A180" i="7"/>
  <c r="B180" i="7" s="1"/>
  <c r="G179" i="7"/>
  <c r="A179" i="7"/>
  <c r="B179" i="7" s="1"/>
  <c r="G178" i="7"/>
  <c r="A178" i="7"/>
  <c r="I178" i="7" s="1"/>
  <c r="G177" i="7"/>
  <c r="A177" i="7"/>
  <c r="I177" i="7" s="1"/>
  <c r="G176" i="7"/>
  <c r="A176" i="7"/>
  <c r="B176" i="7" s="1"/>
  <c r="G175" i="7"/>
  <c r="A175" i="7"/>
  <c r="B175" i="7" s="1"/>
  <c r="G174" i="7"/>
  <c r="A174" i="7"/>
  <c r="I174" i="7" s="1"/>
  <c r="G173" i="7"/>
  <c r="A173" i="7"/>
  <c r="I173" i="7" s="1"/>
  <c r="G172" i="7"/>
  <c r="A172" i="7"/>
  <c r="I172" i="7" s="1"/>
  <c r="G171" i="7"/>
  <c r="A171" i="7"/>
  <c r="B171" i="7" s="1"/>
  <c r="G170" i="7"/>
  <c r="A170" i="7"/>
  <c r="I170" i="7" s="1"/>
  <c r="G169" i="7"/>
  <c r="A169" i="7"/>
  <c r="I169" i="7" s="1"/>
  <c r="G168" i="7"/>
  <c r="A168" i="7"/>
  <c r="B168" i="7" s="1"/>
  <c r="G167" i="7"/>
  <c r="A167" i="7"/>
  <c r="B167" i="7" s="1"/>
  <c r="G166" i="7"/>
  <c r="A166" i="7"/>
  <c r="I166" i="7" s="1"/>
  <c r="G165" i="7"/>
  <c r="A165" i="7"/>
  <c r="I165" i="7" s="1"/>
  <c r="G164" i="7"/>
  <c r="A164" i="7"/>
  <c r="I164" i="7" s="1"/>
  <c r="G163" i="7"/>
  <c r="A163" i="7"/>
  <c r="B163" i="7" s="1"/>
  <c r="G162" i="7"/>
  <c r="A162" i="7"/>
  <c r="I162" i="7" s="1"/>
  <c r="G161" i="7"/>
  <c r="A161" i="7"/>
  <c r="I161" i="7" s="1"/>
  <c r="G160" i="7"/>
  <c r="A160" i="7"/>
  <c r="B160" i="7" s="1"/>
  <c r="G159" i="7"/>
  <c r="A159" i="7"/>
  <c r="B159" i="7" s="1"/>
  <c r="G158" i="7"/>
  <c r="A158" i="7"/>
  <c r="I158" i="7" s="1"/>
  <c r="G157" i="7"/>
  <c r="A157" i="7"/>
  <c r="I157" i="7" s="1"/>
  <c r="G156" i="7"/>
  <c r="A156" i="7"/>
  <c r="I156" i="7" s="1"/>
  <c r="G155" i="7"/>
  <c r="A155" i="7"/>
  <c r="I155" i="7" s="1"/>
  <c r="G154" i="7"/>
  <c r="A154" i="7"/>
  <c r="I154" i="7" s="1"/>
  <c r="G153" i="7"/>
  <c r="A153" i="7"/>
  <c r="I153" i="7" s="1"/>
  <c r="G152" i="7"/>
  <c r="A152" i="7"/>
  <c r="B152" i="7" s="1"/>
  <c r="G151" i="7"/>
  <c r="A151" i="7"/>
  <c r="B151" i="7" s="1"/>
  <c r="G150" i="7"/>
  <c r="A150" i="7"/>
  <c r="I150" i="7" s="1"/>
  <c r="G149" i="7"/>
  <c r="A149" i="7"/>
  <c r="I149" i="7" s="1"/>
  <c r="G148" i="7"/>
  <c r="A148" i="7"/>
  <c r="I148" i="7" s="1"/>
  <c r="G147" i="7"/>
  <c r="A147" i="7"/>
  <c r="B147" i="7" s="1"/>
  <c r="G146" i="7"/>
  <c r="A146" i="7"/>
  <c r="G145" i="7"/>
  <c r="A145" i="7"/>
  <c r="I145" i="7" s="1"/>
  <c r="G144" i="7"/>
  <c r="A144" i="7"/>
  <c r="B144" i="7" s="1"/>
  <c r="G143" i="7"/>
  <c r="A143" i="7"/>
  <c r="B143" i="7" s="1"/>
  <c r="G142" i="7"/>
  <c r="A142" i="7"/>
  <c r="I142" i="7" s="1"/>
  <c r="G141" i="7"/>
  <c r="A141" i="7"/>
  <c r="I141" i="7" s="1"/>
  <c r="G140" i="7"/>
  <c r="A140" i="7"/>
  <c r="I140" i="7" s="1"/>
  <c r="G139" i="7"/>
  <c r="A139" i="7"/>
  <c r="I139" i="7" s="1"/>
  <c r="G138" i="7"/>
  <c r="A138" i="7"/>
  <c r="I138" i="7" s="1"/>
  <c r="G137" i="7"/>
  <c r="A137" i="7"/>
  <c r="I137" i="7" s="1"/>
  <c r="G136" i="7"/>
  <c r="A136" i="7"/>
  <c r="B136" i="7" s="1"/>
  <c r="G135" i="7"/>
  <c r="A135" i="7"/>
  <c r="I135" i="7" s="1"/>
  <c r="I134" i="7"/>
  <c r="G134" i="7"/>
  <c r="A134" i="7"/>
  <c r="B134" i="7" s="1"/>
  <c r="G133" i="7"/>
  <c r="A133" i="7"/>
  <c r="I133" i="7" s="1"/>
  <c r="G132" i="7"/>
  <c r="A132" i="7"/>
  <c r="I132" i="7" s="1"/>
  <c r="G131" i="7"/>
  <c r="A131" i="7"/>
  <c r="B131" i="7" s="1"/>
  <c r="G130" i="7"/>
  <c r="A130" i="7"/>
  <c r="I130" i="7" s="1"/>
  <c r="G129" i="7"/>
  <c r="A129" i="7"/>
  <c r="B129" i="7" s="1"/>
  <c r="G128" i="7"/>
  <c r="A128" i="7"/>
  <c r="B128" i="7" s="1"/>
  <c r="G127" i="7"/>
  <c r="A127" i="7"/>
  <c r="I127" i="7" s="1"/>
  <c r="G126" i="7"/>
  <c r="A126" i="7"/>
  <c r="I126" i="7" s="1"/>
  <c r="G125" i="7"/>
  <c r="A125" i="7"/>
  <c r="I125" i="7" s="1"/>
  <c r="G124" i="7"/>
  <c r="A124" i="7"/>
  <c r="I124" i="7" s="1"/>
  <c r="G123" i="7"/>
  <c r="A123" i="7"/>
  <c r="B123" i="7" s="1"/>
  <c r="G122" i="7"/>
  <c r="A122" i="7"/>
  <c r="I122" i="7" s="1"/>
  <c r="G121" i="7"/>
  <c r="A121" i="7"/>
  <c r="B121" i="7" s="1"/>
  <c r="G120" i="7"/>
  <c r="A120" i="7"/>
  <c r="B120" i="7" s="1"/>
  <c r="G119" i="7"/>
  <c r="A119" i="7"/>
  <c r="I119" i="7" s="1"/>
  <c r="G118" i="7"/>
  <c r="A118" i="7"/>
  <c r="I118" i="7" s="1"/>
  <c r="G117" i="7"/>
  <c r="A117" i="7"/>
  <c r="I117" i="7" s="1"/>
  <c r="G116" i="7"/>
  <c r="A116" i="7"/>
  <c r="I116" i="7" s="1"/>
  <c r="G115" i="7"/>
  <c r="A115" i="7"/>
  <c r="B115" i="7" s="1"/>
  <c r="G114" i="7"/>
  <c r="A114" i="7"/>
  <c r="I114" i="7" s="1"/>
  <c r="G113" i="7"/>
  <c r="A113" i="7"/>
  <c r="B113" i="7" s="1"/>
  <c r="G112" i="7"/>
  <c r="A112" i="7"/>
  <c r="B112" i="7" s="1"/>
  <c r="G111" i="7"/>
  <c r="A111" i="7"/>
  <c r="I111" i="7" s="1"/>
  <c r="G110" i="7"/>
  <c r="A110" i="7"/>
  <c r="I110" i="7" s="1"/>
  <c r="G109" i="7"/>
  <c r="A109" i="7"/>
  <c r="I109" i="7" s="1"/>
  <c r="G108" i="7"/>
  <c r="A108" i="7"/>
  <c r="I108" i="7" s="1"/>
  <c r="G107" i="7"/>
  <c r="A107" i="7"/>
  <c r="B107" i="7" s="1"/>
  <c r="I106" i="7"/>
  <c r="G106" i="7"/>
  <c r="A106" i="7"/>
  <c r="G105" i="7"/>
  <c r="A105" i="7"/>
  <c r="B105" i="7" s="1"/>
  <c r="G104" i="7"/>
  <c r="A104" i="7"/>
  <c r="B104" i="7" s="1"/>
  <c r="G103" i="7"/>
  <c r="A103" i="7"/>
  <c r="I103" i="7" s="1"/>
  <c r="G102" i="7"/>
  <c r="A102" i="7"/>
  <c r="I102" i="7" s="1"/>
  <c r="G101" i="7"/>
  <c r="A101" i="7"/>
  <c r="I101" i="7" s="1"/>
  <c r="G100" i="7"/>
  <c r="A100" i="7"/>
  <c r="B100" i="7" s="1"/>
  <c r="G99" i="7"/>
  <c r="A99" i="7"/>
  <c r="B99" i="7" s="1"/>
  <c r="G98" i="7"/>
  <c r="A98" i="7"/>
  <c r="I98" i="7" s="1"/>
  <c r="G97" i="7"/>
  <c r="A97" i="7"/>
  <c r="B97" i="7" s="1"/>
  <c r="G96" i="7"/>
  <c r="A96" i="7"/>
  <c r="B96" i="7" s="1"/>
  <c r="G95" i="7"/>
  <c r="A95" i="7"/>
  <c r="I95" i="7" s="1"/>
  <c r="G94" i="7"/>
  <c r="A94" i="7"/>
  <c r="I94" i="7" s="1"/>
  <c r="G93" i="7"/>
  <c r="A93" i="7"/>
  <c r="I93" i="7" s="1"/>
  <c r="G92" i="7"/>
  <c r="A92" i="7"/>
  <c r="I92" i="7" s="1"/>
  <c r="G91" i="7"/>
  <c r="A91" i="7"/>
  <c r="B91" i="7" s="1"/>
  <c r="G90" i="7"/>
  <c r="A90" i="7"/>
  <c r="I90" i="7" s="1"/>
  <c r="G89" i="7"/>
  <c r="A89" i="7"/>
  <c r="B89" i="7" s="1"/>
  <c r="G88" i="7"/>
  <c r="A88" i="7"/>
  <c r="B88" i="7" s="1"/>
  <c r="G87" i="7"/>
  <c r="A87" i="7"/>
  <c r="I87" i="7" s="1"/>
  <c r="G86" i="7"/>
  <c r="A86" i="7"/>
  <c r="I86" i="7" s="1"/>
  <c r="G85" i="7"/>
  <c r="A85" i="7"/>
  <c r="I85" i="7" s="1"/>
  <c r="G84" i="7"/>
  <c r="A84" i="7"/>
  <c r="I84" i="7" s="1"/>
  <c r="G83" i="7"/>
  <c r="A83" i="7"/>
  <c r="I83" i="7" s="1"/>
  <c r="G82" i="7"/>
  <c r="A82" i="7"/>
  <c r="G81" i="7"/>
  <c r="A81" i="7"/>
  <c r="B81" i="7" s="1"/>
  <c r="G80" i="7"/>
  <c r="A80" i="7"/>
  <c r="B80" i="7" s="1"/>
  <c r="G79" i="7"/>
  <c r="A79" i="7"/>
  <c r="I79" i="7" s="1"/>
  <c r="G78" i="7"/>
  <c r="A78" i="7"/>
  <c r="I78" i="7" s="1"/>
  <c r="G77" i="7"/>
  <c r="A77" i="7"/>
  <c r="I77" i="7" s="1"/>
  <c r="G76" i="7"/>
  <c r="A76" i="7"/>
  <c r="I76" i="7" s="1"/>
  <c r="G75" i="7"/>
  <c r="A75" i="7"/>
  <c r="I75" i="7" s="1"/>
  <c r="G74" i="7"/>
  <c r="A74" i="7"/>
  <c r="G73" i="7"/>
  <c r="A73" i="7"/>
  <c r="B73" i="7" s="1"/>
  <c r="G72" i="7"/>
  <c r="A72" i="7"/>
  <c r="B72" i="7" s="1"/>
  <c r="G71" i="7"/>
  <c r="A71" i="7"/>
  <c r="I71" i="7" s="1"/>
  <c r="G70" i="7"/>
  <c r="A70" i="7"/>
  <c r="I70" i="7" s="1"/>
  <c r="G69" i="7"/>
  <c r="A69" i="7"/>
  <c r="I69" i="7" s="1"/>
  <c r="G68" i="7"/>
  <c r="A68" i="7"/>
  <c r="I68" i="7" s="1"/>
  <c r="I67" i="7"/>
  <c r="G67" i="7"/>
  <c r="A67" i="7"/>
  <c r="B67" i="7" s="1"/>
  <c r="G66" i="7"/>
  <c r="A66" i="7"/>
  <c r="G65" i="7"/>
  <c r="A65" i="7"/>
  <c r="B65" i="7" s="1"/>
  <c r="G64" i="7"/>
  <c r="A64" i="7"/>
  <c r="B64" i="7" s="1"/>
  <c r="G63" i="7"/>
  <c r="A63" i="7"/>
  <c r="I63" i="7" s="1"/>
  <c r="G62" i="7"/>
  <c r="A62" i="7"/>
  <c r="I62" i="7" s="1"/>
  <c r="G61" i="7"/>
  <c r="A61" i="7"/>
  <c r="I61" i="7" s="1"/>
  <c r="G60" i="7"/>
  <c r="A60" i="7"/>
  <c r="I60" i="7" s="1"/>
  <c r="G59" i="7"/>
  <c r="A59" i="7"/>
  <c r="I59" i="7" s="1"/>
  <c r="G58" i="7"/>
  <c r="A58" i="7"/>
  <c r="G57" i="7"/>
  <c r="A57" i="7"/>
  <c r="B57" i="7" s="1"/>
  <c r="G56" i="7"/>
  <c r="A56" i="7"/>
  <c r="B56" i="7" s="1"/>
  <c r="G55" i="7"/>
  <c r="A55" i="7"/>
  <c r="I55" i="7" s="1"/>
  <c r="G54" i="7"/>
  <c r="A54" i="7"/>
  <c r="I54" i="7" s="1"/>
  <c r="G53" i="7"/>
  <c r="A53" i="7"/>
  <c r="I53" i="7" s="1"/>
  <c r="G52" i="7"/>
  <c r="A52" i="7"/>
  <c r="I52" i="7" s="1"/>
  <c r="G51" i="7"/>
  <c r="A51" i="7"/>
  <c r="I51" i="7" s="1"/>
  <c r="G50" i="7"/>
  <c r="A50" i="7"/>
  <c r="G49" i="7"/>
  <c r="A49" i="7"/>
  <c r="B49" i="7" s="1"/>
  <c r="G48" i="7"/>
  <c r="A48" i="7"/>
  <c r="B48" i="7" s="1"/>
  <c r="G47" i="7"/>
  <c r="A47" i="7"/>
  <c r="I47" i="7" s="1"/>
  <c r="G46" i="7"/>
  <c r="A46" i="7"/>
  <c r="I46" i="7" s="1"/>
  <c r="G45" i="7"/>
  <c r="A45" i="7"/>
  <c r="I45" i="7" s="1"/>
  <c r="G44" i="7"/>
  <c r="A44" i="7"/>
  <c r="I44" i="7" s="1"/>
  <c r="G43" i="7"/>
  <c r="A43" i="7"/>
  <c r="I43" i="7" s="1"/>
  <c r="G42" i="7"/>
  <c r="A42" i="7"/>
  <c r="G41" i="7"/>
  <c r="A41" i="7"/>
  <c r="B41" i="7" s="1"/>
  <c r="G40" i="7"/>
  <c r="A40" i="7"/>
  <c r="B40" i="7" s="1"/>
  <c r="G39" i="7"/>
  <c r="A39" i="7"/>
  <c r="I39" i="7" s="1"/>
  <c r="G38" i="7"/>
  <c r="A38" i="7"/>
  <c r="I38" i="7" s="1"/>
  <c r="G37" i="7"/>
  <c r="A37" i="7"/>
  <c r="I37" i="7" s="1"/>
  <c r="G36" i="7"/>
  <c r="A36" i="7"/>
  <c r="I36" i="7" s="1"/>
  <c r="G35" i="7"/>
  <c r="A35" i="7"/>
  <c r="I35" i="7" s="1"/>
  <c r="G34" i="7"/>
  <c r="A34" i="7"/>
  <c r="G33" i="7"/>
  <c r="A33" i="7"/>
  <c r="B33" i="7" s="1"/>
  <c r="G32" i="7"/>
  <c r="A32" i="7"/>
  <c r="B32" i="7" s="1"/>
  <c r="G31" i="7"/>
  <c r="A31" i="7"/>
  <c r="I31" i="7" s="1"/>
  <c r="G30" i="7"/>
  <c r="A30" i="7"/>
  <c r="I30" i="7" s="1"/>
  <c r="G29" i="7"/>
  <c r="A29" i="7"/>
  <c r="I29" i="7" s="1"/>
  <c r="G28" i="7"/>
  <c r="A28" i="7"/>
  <c r="I28" i="7" s="1"/>
  <c r="G27" i="7"/>
  <c r="A27" i="7"/>
  <c r="I27" i="7" s="1"/>
  <c r="G26" i="7"/>
  <c r="A26" i="7"/>
  <c r="G25" i="7"/>
  <c r="A25" i="7"/>
  <c r="B25" i="7" s="1"/>
  <c r="G24" i="7"/>
  <c r="A24" i="7"/>
  <c r="B24" i="7" s="1"/>
  <c r="G23" i="7"/>
  <c r="A23" i="7"/>
  <c r="I23" i="7" s="1"/>
  <c r="G22" i="7"/>
  <c r="A22" i="7"/>
  <c r="I22" i="7" s="1"/>
  <c r="G21" i="7"/>
  <c r="A21" i="7"/>
  <c r="I21" i="7" s="1"/>
  <c r="G20" i="7"/>
  <c r="A20" i="7"/>
  <c r="I20" i="7" s="1"/>
  <c r="G19" i="7"/>
  <c r="A19" i="7"/>
  <c r="I19" i="7" s="1"/>
  <c r="G18" i="7"/>
  <c r="A18" i="7"/>
  <c r="G17" i="7"/>
  <c r="A17" i="7"/>
  <c r="B17" i="7" s="1"/>
  <c r="G16" i="7"/>
  <c r="A16" i="7"/>
  <c r="B16" i="7" s="1"/>
  <c r="G15" i="7"/>
  <c r="A15" i="7"/>
  <c r="I15" i="7" s="1"/>
  <c r="G14" i="7"/>
  <c r="A14" i="7"/>
  <c r="I14" i="7" s="1"/>
  <c r="G13" i="7"/>
  <c r="A13" i="7"/>
  <c r="I13" i="7" s="1"/>
  <c r="G12" i="7"/>
  <c r="A12" i="7"/>
  <c r="I12" i="7" s="1"/>
  <c r="G11" i="7"/>
  <c r="A11" i="7"/>
  <c r="I11" i="7" s="1"/>
  <c r="G10" i="7"/>
  <c r="A10" i="7"/>
  <c r="G9" i="7"/>
  <c r="A9" i="7"/>
  <c r="B9" i="7" s="1"/>
  <c r="G8" i="7"/>
  <c r="A8" i="7"/>
  <c r="B8" i="7" s="1"/>
  <c r="G7" i="7"/>
  <c r="A7" i="7"/>
  <c r="I7" i="7" s="1"/>
  <c r="G6" i="7"/>
  <c r="A6" i="7"/>
  <c r="I6" i="7" s="1"/>
  <c r="G5" i="7"/>
  <c r="A5" i="7"/>
  <c r="I5" i="7" s="1"/>
  <c r="G4" i="7"/>
  <c r="A4" i="7"/>
  <c r="I4" i="7" s="1"/>
  <c r="G3" i="7"/>
  <c r="A3" i="7"/>
  <c r="I3" i="7" s="1"/>
  <c r="G2" i="7"/>
  <c r="A2" i="7"/>
  <c r="D2" i="7" s="1"/>
  <c r="H500" i="5"/>
  <c r="K500" i="5" s="1"/>
  <c r="F500" i="5"/>
  <c r="H499" i="5"/>
  <c r="J499" i="5" s="1"/>
  <c r="F499" i="5"/>
  <c r="H498" i="5"/>
  <c r="J498" i="5" s="1"/>
  <c r="F498" i="5"/>
  <c r="H497" i="5"/>
  <c r="K497" i="5" s="1"/>
  <c r="F497" i="5"/>
  <c r="H496" i="5"/>
  <c r="K496" i="5" s="1"/>
  <c r="F496" i="5"/>
  <c r="H495" i="5"/>
  <c r="K495" i="5" s="1"/>
  <c r="F495" i="5"/>
  <c r="H494" i="5"/>
  <c r="K494" i="5" s="1"/>
  <c r="F494" i="5"/>
  <c r="H493" i="5"/>
  <c r="K493" i="5" s="1"/>
  <c r="F493" i="5"/>
  <c r="H492" i="5"/>
  <c r="J492" i="5" s="1"/>
  <c r="F492" i="5"/>
  <c r="H491" i="5"/>
  <c r="K491" i="5" s="1"/>
  <c r="F491" i="5"/>
  <c r="H490" i="5"/>
  <c r="J490" i="5" s="1"/>
  <c r="F490" i="5"/>
  <c r="H489" i="5"/>
  <c r="J489" i="5" s="1"/>
  <c r="F489" i="5"/>
  <c r="H488" i="5"/>
  <c r="K488" i="5" s="1"/>
  <c r="F488" i="5"/>
  <c r="H487" i="5"/>
  <c r="K487" i="5" s="1"/>
  <c r="F487" i="5"/>
  <c r="H486" i="5"/>
  <c r="J486" i="5" s="1"/>
  <c r="F486" i="5"/>
  <c r="H485" i="5"/>
  <c r="K485" i="5" s="1"/>
  <c r="F485" i="5"/>
  <c r="H484" i="5"/>
  <c r="K484" i="5" s="1"/>
  <c r="F484" i="5"/>
  <c r="H483" i="5"/>
  <c r="K483" i="5" s="1"/>
  <c r="F483" i="5"/>
  <c r="H482" i="5"/>
  <c r="K482" i="5" s="1"/>
  <c r="F482" i="5"/>
  <c r="H481" i="5"/>
  <c r="J481" i="5" s="1"/>
  <c r="F481" i="5"/>
  <c r="H480" i="5"/>
  <c r="J480" i="5" s="1"/>
  <c r="F480" i="5"/>
  <c r="H479" i="5"/>
  <c r="K479" i="5" s="1"/>
  <c r="F479" i="5"/>
  <c r="H478" i="5"/>
  <c r="K478" i="5" s="1"/>
  <c r="F478" i="5"/>
  <c r="H477" i="5"/>
  <c r="K477" i="5" s="1"/>
  <c r="F477" i="5"/>
  <c r="H476" i="5"/>
  <c r="K476" i="5" s="1"/>
  <c r="F476" i="5"/>
  <c r="H475" i="5"/>
  <c r="K475" i="5" s="1"/>
  <c r="F475" i="5"/>
  <c r="H474" i="5"/>
  <c r="K474" i="5" s="1"/>
  <c r="F474" i="5"/>
  <c r="H473" i="5"/>
  <c r="K473" i="5" s="1"/>
  <c r="F473" i="5"/>
  <c r="H472" i="5"/>
  <c r="J472" i="5" s="1"/>
  <c r="F472" i="5"/>
  <c r="H471" i="5"/>
  <c r="K471" i="5" s="1"/>
  <c r="F471" i="5"/>
  <c r="H470" i="5"/>
  <c r="K470" i="5" s="1"/>
  <c r="F470" i="5"/>
  <c r="H469" i="5"/>
  <c r="K469" i="5" s="1"/>
  <c r="F469" i="5"/>
  <c r="H468" i="5"/>
  <c r="K468" i="5" s="1"/>
  <c r="F468" i="5"/>
  <c r="H467" i="5"/>
  <c r="K467" i="5" s="1"/>
  <c r="F467" i="5"/>
  <c r="H466" i="5"/>
  <c r="K466" i="5" s="1"/>
  <c r="F466" i="5"/>
  <c r="H465" i="5"/>
  <c r="K465" i="5" s="1"/>
  <c r="F465" i="5"/>
  <c r="H464" i="5"/>
  <c r="J464" i="5" s="1"/>
  <c r="F464" i="5"/>
  <c r="H463" i="5"/>
  <c r="J463" i="5" s="1"/>
  <c r="F463" i="5"/>
  <c r="H462" i="5"/>
  <c r="K462" i="5" s="1"/>
  <c r="F462" i="5"/>
  <c r="H461" i="5"/>
  <c r="J461" i="5" s="1"/>
  <c r="F461" i="5"/>
  <c r="H460" i="5"/>
  <c r="J460" i="5" s="1"/>
  <c r="F460" i="5"/>
  <c r="H459" i="5"/>
  <c r="J459" i="5" s="1"/>
  <c r="F459" i="5"/>
  <c r="H458" i="5"/>
  <c r="K458" i="5" s="1"/>
  <c r="F458" i="5"/>
  <c r="H457" i="5"/>
  <c r="J457" i="5" s="1"/>
  <c r="F457" i="5"/>
  <c r="H456" i="5"/>
  <c r="J456" i="5" s="1"/>
  <c r="F456" i="5"/>
  <c r="H455" i="5"/>
  <c r="K455" i="5" s="1"/>
  <c r="F455" i="5"/>
  <c r="H454" i="5"/>
  <c r="K454" i="5" s="1"/>
  <c r="F454" i="5"/>
  <c r="H453" i="5"/>
  <c r="J453" i="5" s="1"/>
  <c r="F453" i="5"/>
  <c r="H452" i="5"/>
  <c r="K452" i="5" s="1"/>
  <c r="F452" i="5"/>
  <c r="H451" i="5"/>
  <c r="J451" i="5" s="1"/>
  <c r="F451" i="5"/>
  <c r="H450" i="5"/>
  <c r="K450" i="5" s="1"/>
  <c r="F450" i="5"/>
  <c r="H449" i="5"/>
  <c r="J449" i="5" s="1"/>
  <c r="F449" i="5"/>
  <c r="H448" i="5"/>
  <c r="J448" i="5" s="1"/>
  <c r="F448" i="5"/>
  <c r="H447" i="5"/>
  <c r="J447" i="5" s="1"/>
  <c r="F447" i="5"/>
  <c r="H446" i="5"/>
  <c r="K446" i="5" s="1"/>
  <c r="F446" i="5"/>
  <c r="H445" i="5"/>
  <c r="J445" i="5" s="1"/>
  <c r="F445" i="5"/>
  <c r="H444" i="5"/>
  <c r="J444" i="5" s="1"/>
  <c r="F444" i="5"/>
  <c r="H443" i="5"/>
  <c r="J443" i="5" s="1"/>
  <c r="F443" i="5"/>
  <c r="H442" i="5"/>
  <c r="J442" i="5" s="1"/>
  <c r="F442" i="5"/>
  <c r="H441" i="5"/>
  <c r="J441" i="5" s="1"/>
  <c r="F441" i="5"/>
  <c r="H440" i="5"/>
  <c r="J440" i="5" s="1"/>
  <c r="F440" i="5"/>
  <c r="H439" i="5"/>
  <c r="J439" i="5" s="1"/>
  <c r="F439" i="5"/>
  <c r="H438" i="5"/>
  <c r="K438" i="5" s="1"/>
  <c r="F438" i="5"/>
  <c r="H437" i="5"/>
  <c r="J437" i="5" s="1"/>
  <c r="F437" i="5"/>
  <c r="H436" i="5"/>
  <c r="J436" i="5" s="1"/>
  <c r="F436" i="5"/>
  <c r="H435" i="5"/>
  <c r="J435" i="5" s="1"/>
  <c r="F435" i="5"/>
  <c r="H434" i="5"/>
  <c r="K434" i="5" s="1"/>
  <c r="F434" i="5"/>
  <c r="H433" i="5"/>
  <c r="J433" i="5" s="1"/>
  <c r="F433" i="5"/>
  <c r="H432" i="5"/>
  <c r="K432" i="5" s="1"/>
  <c r="F432" i="5"/>
  <c r="H431" i="5"/>
  <c r="J431" i="5" s="1"/>
  <c r="F431" i="5"/>
  <c r="H430" i="5"/>
  <c r="J430" i="5" s="1"/>
  <c r="F430" i="5"/>
  <c r="H429" i="5"/>
  <c r="J429" i="5" s="1"/>
  <c r="F429" i="5"/>
  <c r="H428" i="5"/>
  <c r="J428" i="5" s="1"/>
  <c r="F428" i="5"/>
  <c r="H427" i="5"/>
  <c r="J427" i="5" s="1"/>
  <c r="F427" i="5"/>
  <c r="H426" i="5"/>
  <c r="K426" i="5" s="1"/>
  <c r="F426" i="5"/>
  <c r="H425" i="5"/>
  <c r="J425" i="5" s="1"/>
  <c r="F425" i="5"/>
  <c r="H424" i="5"/>
  <c r="K424" i="5" s="1"/>
  <c r="F424" i="5"/>
  <c r="H423" i="5"/>
  <c r="K423" i="5" s="1"/>
  <c r="F423" i="5"/>
  <c r="H422" i="5"/>
  <c r="J422" i="5" s="1"/>
  <c r="F422" i="5"/>
  <c r="H421" i="5"/>
  <c r="J421" i="5" s="1"/>
  <c r="F421" i="5"/>
  <c r="H420" i="5"/>
  <c r="K420" i="5" s="1"/>
  <c r="F420" i="5"/>
  <c r="H419" i="5"/>
  <c r="J419" i="5" s="1"/>
  <c r="F419" i="5"/>
  <c r="H418" i="5"/>
  <c r="K418" i="5" s="1"/>
  <c r="F418" i="5"/>
  <c r="H417" i="5"/>
  <c r="J417" i="5" s="1"/>
  <c r="F417" i="5"/>
  <c r="H416" i="5"/>
  <c r="J416" i="5" s="1"/>
  <c r="F416" i="5"/>
  <c r="H415" i="5"/>
  <c r="K415" i="5" s="1"/>
  <c r="F415" i="5"/>
  <c r="H414" i="5"/>
  <c r="K414" i="5" s="1"/>
  <c r="F414" i="5"/>
  <c r="H413" i="5"/>
  <c r="J413" i="5" s="1"/>
  <c r="F413" i="5"/>
  <c r="H412" i="5"/>
  <c r="K412" i="5" s="1"/>
  <c r="F412" i="5"/>
  <c r="H411" i="5"/>
  <c r="J411" i="5" s="1"/>
  <c r="F411" i="5"/>
  <c r="H410" i="5"/>
  <c r="K410" i="5" s="1"/>
  <c r="F410" i="5"/>
  <c r="H409" i="5"/>
  <c r="J409" i="5" s="1"/>
  <c r="F409" i="5"/>
  <c r="H408" i="5"/>
  <c r="J408" i="5" s="1"/>
  <c r="F408" i="5"/>
  <c r="H407" i="5"/>
  <c r="K407" i="5" s="1"/>
  <c r="F407" i="5"/>
  <c r="H406" i="5"/>
  <c r="K406" i="5" s="1"/>
  <c r="F406" i="5"/>
  <c r="H405" i="5"/>
  <c r="J405" i="5" s="1"/>
  <c r="F405" i="5"/>
  <c r="H404" i="5"/>
  <c r="J404" i="5" s="1"/>
  <c r="F404" i="5"/>
  <c r="H403" i="5"/>
  <c r="J403" i="5" s="1"/>
  <c r="F403" i="5"/>
  <c r="H402" i="5"/>
  <c r="K402" i="5" s="1"/>
  <c r="F402" i="5"/>
  <c r="H401" i="5"/>
  <c r="J401" i="5" s="1"/>
  <c r="F401" i="5"/>
  <c r="H400" i="5"/>
  <c r="K400" i="5" s="1"/>
  <c r="F400" i="5"/>
  <c r="H399" i="5"/>
  <c r="K399" i="5" s="1"/>
  <c r="F399" i="5"/>
  <c r="H398" i="5"/>
  <c r="K398" i="5" s="1"/>
  <c r="F398" i="5"/>
  <c r="H397" i="5"/>
  <c r="J397" i="5" s="1"/>
  <c r="F397" i="5"/>
  <c r="H396" i="5"/>
  <c r="J396" i="5" s="1"/>
  <c r="F396" i="5"/>
  <c r="H395" i="5"/>
  <c r="J395" i="5" s="1"/>
  <c r="F395" i="5"/>
  <c r="H394" i="5"/>
  <c r="J394" i="5" s="1"/>
  <c r="F394" i="5"/>
  <c r="H393" i="5"/>
  <c r="J393" i="5" s="1"/>
  <c r="F393" i="5"/>
  <c r="H392" i="5"/>
  <c r="K392" i="5" s="1"/>
  <c r="F392" i="5"/>
  <c r="H391" i="5"/>
  <c r="K391" i="5" s="1"/>
  <c r="F391" i="5"/>
  <c r="H390" i="5"/>
  <c r="K390" i="5" s="1"/>
  <c r="F390" i="5"/>
  <c r="H389" i="5"/>
  <c r="J389" i="5" s="1"/>
  <c r="F389" i="5"/>
  <c r="H388" i="5"/>
  <c r="K388" i="5" s="1"/>
  <c r="F388" i="5"/>
  <c r="H387" i="5"/>
  <c r="J387" i="5" s="1"/>
  <c r="F387" i="5"/>
  <c r="H386" i="5"/>
  <c r="K386" i="5" s="1"/>
  <c r="F386" i="5"/>
  <c r="H385" i="5"/>
  <c r="J385" i="5" s="1"/>
  <c r="F385" i="5"/>
  <c r="H384" i="5"/>
  <c r="K384" i="5" s="1"/>
  <c r="F384" i="5"/>
  <c r="H383" i="5"/>
  <c r="K383" i="5" s="1"/>
  <c r="F383" i="5"/>
  <c r="H382" i="5"/>
  <c r="K382" i="5" s="1"/>
  <c r="F382" i="5"/>
  <c r="H381" i="5"/>
  <c r="J381" i="5" s="1"/>
  <c r="F381" i="5"/>
  <c r="H380" i="5"/>
  <c r="K380" i="5" s="1"/>
  <c r="F380" i="5"/>
  <c r="H379" i="5"/>
  <c r="J379" i="5" s="1"/>
  <c r="F379" i="5"/>
  <c r="H378" i="5"/>
  <c r="J378" i="5" s="1"/>
  <c r="F378" i="5"/>
  <c r="H377" i="5"/>
  <c r="J377" i="5" s="1"/>
  <c r="F377" i="5"/>
  <c r="H376" i="5"/>
  <c r="K376" i="5" s="1"/>
  <c r="F376" i="5"/>
  <c r="H375" i="5"/>
  <c r="K375" i="5" s="1"/>
  <c r="F375" i="5"/>
  <c r="H374" i="5"/>
  <c r="K374" i="5" s="1"/>
  <c r="F374" i="5"/>
  <c r="H373" i="5"/>
  <c r="J373" i="5" s="1"/>
  <c r="F373" i="5"/>
  <c r="H372" i="5"/>
  <c r="J372" i="5" s="1"/>
  <c r="F372" i="5"/>
  <c r="H371" i="5"/>
  <c r="J371" i="5" s="1"/>
  <c r="F371" i="5"/>
  <c r="H370" i="5"/>
  <c r="K370" i="5" s="1"/>
  <c r="F370" i="5"/>
  <c r="H369" i="5"/>
  <c r="J369" i="5" s="1"/>
  <c r="F369" i="5"/>
  <c r="H368" i="5"/>
  <c r="K368" i="5" s="1"/>
  <c r="F368" i="5"/>
  <c r="H367" i="5"/>
  <c r="K367" i="5" s="1"/>
  <c r="F367" i="5"/>
  <c r="H366" i="5"/>
  <c r="K366" i="5" s="1"/>
  <c r="F366" i="5"/>
  <c r="H365" i="5"/>
  <c r="J365" i="5" s="1"/>
  <c r="F365" i="5"/>
  <c r="H364" i="5"/>
  <c r="J364" i="5" s="1"/>
  <c r="F364" i="5"/>
  <c r="H363" i="5"/>
  <c r="J363" i="5" s="1"/>
  <c r="F363" i="5"/>
  <c r="H362" i="5"/>
  <c r="K362" i="5" s="1"/>
  <c r="F362" i="5"/>
  <c r="H361" i="5"/>
  <c r="J361" i="5" s="1"/>
  <c r="F361" i="5"/>
  <c r="H360" i="5"/>
  <c r="J360" i="5" s="1"/>
  <c r="F360" i="5"/>
  <c r="H359" i="5"/>
  <c r="K359" i="5" s="1"/>
  <c r="F359" i="5"/>
  <c r="H358" i="5"/>
  <c r="K358" i="5" s="1"/>
  <c r="F358" i="5"/>
  <c r="H357" i="5"/>
  <c r="J357" i="5" s="1"/>
  <c r="F357" i="5"/>
  <c r="H356" i="5"/>
  <c r="K356" i="5" s="1"/>
  <c r="F356" i="5"/>
  <c r="H355" i="5"/>
  <c r="J355" i="5" s="1"/>
  <c r="F355" i="5"/>
  <c r="H354" i="5"/>
  <c r="K354" i="5" s="1"/>
  <c r="F354" i="5"/>
  <c r="H353" i="5"/>
  <c r="J353" i="5" s="1"/>
  <c r="F353" i="5"/>
  <c r="H352" i="5"/>
  <c r="K352" i="5" s="1"/>
  <c r="F352" i="5"/>
  <c r="H351" i="5"/>
  <c r="K351" i="5" s="1"/>
  <c r="F351" i="5"/>
  <c r="H350" i="5"/>
  <c r="K350" i="5" s="1"/>
  <c r="F350" i="5"/>
  <c r="H349" i="5"/>
  <c r="J349" i="5" s="1"/>
  <c r="F349" i="5"/>
  <c r="H348" i="5"/>
  <c r="K348" i="5" s="1"/>
  <c r="F348" i="5"/>
  <c r="H347" i="5"/>
  <c r="J347" i="5" s="1"/>
  <c r="F347" i="5"/>
  <c r="H346" i="5"/>
  <c r="J346" i="5" s="1"/>
  <c r="F346" i="5"/>
  <c r="H345" i="5"/>
  <c r="J345" i="5" s="1"/>
  <c r="F345" i="5"/>
  <c r="H344" i="5"/>
  <c r="J344" i="5" s="1"/>
  <c r="F344" i="5"/>
  <c r="H343" i="5"/>
  <c r="K343" i="5" s="1"/>
  <c r="F343" i="5"/>
  <c r="H342" i="5"/>
  <c r="K342" i="5" s="1"/>
  <c r="F342" i="5"/>
  <c r="H341" i="5"/>
  <c r="J341" i="5" s="1"/>
  <c r="F341" i="5"/>
  <c r="H340" i="5"/>
  <c r="J340" i="5" s="1"/>
  <c r="F340" i="5"/>
  <c r="H339" i="5"/>
  <c r="J339" i="5" s="1"/>
  <c r="F339" i="5"/>
  <c r="H338" i="5"/>
  <c r="J338" i="5" s="1"/>
  <c r="F338" i="5"/>
  <c r="H337" i="5"/>
  <c r="J337" i="5" s="1"/>
  <c r="F337" i="5"/>
  <c r="H336" i="5"/>
  <c r="K336" i="5" s="1"/>
  <c r="F336" i="5"/>
  <c r="H335" i="5"/>
  <c r="K335" i="5" s="1"/>
  <c r="F335" i="5"/>
  <c r="H334" i="5"/>
  <c r="K334" i="5" s="1"/>
  <c r="F334" i="5"/>
  <c r="H333" i="5"/>
  <c r="J333" i="5" s="1"/>
  <c r="F333" i="5"/>
  <c r="H332" i="5"/>
  <c r="J332" i="5" s="1"/>
  <c r="F332" i="5"/>
  <c r="H331" i="5"/>
  <c r="J331" i="5" s="1"/>
  <c r="F331" i="5"/>
  <c r="H330" i="5"/>
  <c r="K330" i="5" s="1"/>
  <c r="F330" i="5"/>
  <c r="H329" i="5"/>
  <c r="J329" i="5" s="1"/>
  <c r="F329" i="5"/>
  <c r="H328" i="5"/>
  <c r="K328" i="5" s="1"/>
  <c r="F328" i="5"/>
  <c r="H327" i="5"/>
  <c r="K327" i="5" s="1"/>
  <c r="F327" i="5"/>
  <c r="H326" i="5"/>
  <c r="K326" i="5" s="1"/>
  <c r="F326" i="5"/>
  <c r="H325" i="5"/>
  <c r="J325" i="5" s="1"/>
  <c r="F325" i="5"/>
  <c r="H324" i="5"/>
  <c r="K324" i="5" s="1"/>
  <c r="F324" i="5"/>
  <c r="H323" i="5"/>
  <c r="J323" i="5" s="1"/>
  <c r="F323" i="5"/>
  <c r="H322" i="5"/>
  <c r="K322" i="5" s="1"/>
  <c r="F322" i="5"/>
  <c r="H321" i="5"/>
  <c r="J321" i="5" s="1"/>
  <c r="F321" i="5"/>
  <c r="H320" i="5"/>
  <c r="J320" i="5" s="1"/>
  <c r="F320" i="5"/>
  <c r="H319" i="5"/>
  <c r="K319" i="5" s="1"/>
  <c r="F319" i="5"/>
  <c r="H318" i="5"/>
  <c r="K318" i="5" s="1"/>
  <c r="F318" i="5"/>
  <c r="H317" i="5"/>
  <c r="J317" i="5" s="1"/>
  <c r="F317" i="5"/>
  <c r="H316" i="5"/>
  <c r="K316" i="5" s="1"/>
  <c r="F316" i="5"/>
  <c r="H315" i="5"/>
  <c r="J315" i="5" s="1"/>
  <c r="F315" i="5"/>
  <c r="H314" i="5"/>
  <c r="J314" i="5" s="1"/>
  <c r="F314" i="5"/>
  <c r="H313" i="5"/>
  <c r="J313" i="5" s="1"/>
  <c r="F313" i="5"/>
  <c r="H312" i="5"/>
  <c r="J312" i="5" s="1"/>
  <c r="F312" i="5"/>
  <c r="H311" i="5"/>
  <c r="K311" i="5" s="1"/>
  <c r="F311" i="5"/>
  <c r="H310" i="5"/>
  <c r="K310" i="5" s="1"/>
  <c r="F310" i="5"/>
  <c r="H309" i="5"/>
  <c r="J309" i="5" s="1"/>
  <c r="F309" i="5"/>
  <c r="H308" i="5"/>
  <c r="J308" i="5" s="1"/>
  <c r="F308" i="5"/>
  <c r="H307" i="5"/>
  <c r="J307" i="5" s="1"/>
  <c r="F307" i="5"/>
  <c r="H306" i="5"/>
  <c r="K306" i="5" s="1"/>
  <c r="F306" i="5"/>
  <c r="H305" i="5"/>
  <c r="J305" i="5" s="1"/>
  <c r="F305" i="5"/>
  <c r="H304" i="5"/>
  <c r="K304" i="5" s="1"/>
  <c r="F304" i="5"/>
  <c r="H303" i="5"/>
  <c r="K303" i="5" s="1"/>
  <c r="F303" i="5"/>
  <c r="H302" i="5"/>
  <c r="J302" i="5" s="1"/>
  <c r="F302" i="5"/>
  <c r="H301" i="5"/>
  <c r="J301" i="5" s="1"/>
  <c r="F301" i="5"/>
  <c r="H300" i="5"/>
  <c r="J300" i="5" s="1"/>
  <c r="F300" i="5"/>
  <c r="H299" i="5"/>
  <c r="J299" i="5" s="1"/>
  <c r="F299" i="5"/>
  <c r="H298" i="5"/>
  <c r="J298" i="5" s="1"/>
  <c r="F298" i="5"/>
  <c r="H297" i="5"/>
  <c r="J297" i="5" s="1"/>
  <c r="F297" i="5"/>
  <c r="H296" i="5"/>
  <c r="K296" i="5" s="1"/>
  <c r="F296" i="5"/>
  <c r="H295" i="5"/>
  <c r="J295" i="5" s="1"/>
  <c r="F295" i="5"/>
  <c r="H294" i="5"/>
  <c r="K294" i="5" s="1"/>
  <c r="F294" i="5"/>
  <c r="H293" i="5"/>
  <c r="J293" i="5" s="1"/>
  <c r="F293" i="5"/>
  <c r="H292" i="5"/>
  <c r="J292" i="5" s="1"/>
  <c r="F292" i="5"/>
  <c r="H291" i="5"/>
  <c r="K291" i="5" s="1"/>
  <c r="F291" i="5"/>
  <c r="H290" i="5"/>
  <c r="K290" i="5" s="1"/>
  <c r="F290" i="5"/>
  <c r="H289" i="5"/>
  <c r="J289" i="5" s="1"/>
  <c r="F289" i="5"/>
  <c r="H288" i="5"/>
  <c r="K288" i="5" s="1"/>
  <c r="F288" i="5"/>
  <c r="H287" i="5"/>
  <c r="J287" i="5" s="1"/>
  <c r="F287" i="5"/>
  <c r="H286" i="5"/>
  <c r="J286" i="5" s="1"/>
  <c r="F286" i="5"/>
  <c r="H285" i="5"/>
  <c r="J285" i="5" s="1"/>
  <c r="F285" i="5"/>
  <c r="H284" i="5"/>
  <c r="K284" i="5" s="1"/>
  <c r="F284" i="5"/>
  <c r="H283" i="5"/>
  <c r="J283" i="5" s="1"/>
  <c r="F283" i="5"/>
  <c r="H282" i="5"/>
  <c r="J282" i="5" s="1"/>
  <c r="F282" i="5"/>
  <c r="H281" i="5"/>
  <c r="J281" i="5" s="1"/>
  <c r="F281" i="5"/>
  <c r="H280" i="5"/>
  <c r="J280" i="5" s="1"/>
  <c r="F280" i="5"/>
  <c r="H279" i="5"/>
  <c r="K279" i="5" s="1"/>
  <c r="F279" i="5"/>
  <c r="H278" i="5"/>
  <c r="J278" i="5" s="1"/>
  <c r="F278" i="5"/>
  <c r="H277" i="5"/>
  <c r="J277" i="5" s="1"/>
  <c r="F277" i="5"/>
  <c r="H276" i="5"/>
  <c r="J276" i="5" s="1"/>
  <c r="F276" i="5"/>
  <c r="H275" i="5"/>
  <c r="J275" i="5" s="1"/>
  <c r="F275" i="5"/>
  <c r="H274" i="5"/>
  <c r="J274" i="5" s="1"/>
  <c r="F274" i="5"/>
  <c r="H273" i="5"/>
  <c r="J273" i="5" s="1"/>
  <c r="F273" i="5"/>
  <c r="H272" i="5"/>
  <c r="J272" i="5" s="1"/>
  <c r="F272" i="5"/>
  <c r="H271" i="5"/>
  <c r="K271" i="5" s="1"/>
  <c r="F271" i="5"/>
  <c r="H270" i="5"/>
  <c r="J270" i="5" s="1"/>
  <c r="F270" i="5"/>
  <c r="H269" i="5"/>
  <c r="J269" i="5" s="1"/>
  <c r="F269" i="5"/>
  <c r="H268" i="5"/>
  <c r="J268" i="5" s="1"/>
  <c r="F268" i="5"/>
  <c r="H267" i="5"/>
  <c r="K267" i="5" s="1"/>
  <c r="F267" i="5"/>
  <c r="H266" i="5"/>
  <c r="J266" i="5" s="1"/>
  <c r="F266" i="5"/>
  <c r="H265" i="5"/>
  <c r="J265" i="5" s="1"/>
  <c r="F265" i="5"/>
  <c r="H264" i="5"/>
  <c r="J264" i="5" s="1"/>
  <c r="F264" i="5"/>
  <c r="H263" i="5"/>
  <c r="K263" i="5" s="1"/>
  <c r="F263" i="5"/>
  <c r="H262" i="5"/>
  <c r="J262" i="5" s="1"/>
  <c r="F262" i="5"/>
  <c r="H261" i="5"/>
  <c r="J261" i="5" s="1"/>
  <c r="F261" i="5"/>
  <c r="H260" i="5"/>
  <c r="J260" i="5" s="1"/>
  <c r="F260" i="5"/>
  <c r="H259" i="5"/>
  <c r="K259" i="5" s="1"/>
  <c r="F259" i="5"/>
  <c r="H258" i="5"/>
  <c r="J258" i="5" s="1"/>
  <c r="F258" i="5"/>
  <c r="H257" i="5"/>
  <c r="J257" i="5" s="1"/>
  <c r="F257" i="5"/>
  <c r="H256" i="5"/>
  <c r="J256" i="5" s="1"/>
  <c r="F256" i="5"/>
  <c r="H255" i="5"/>
  <c r="J255" i="5" s="1"/>
  <c r="F255" i="5"/>
  <c r="H254" i="5"/>
  <c r="J254" i="5" s="1"/>
  <c r="F254" i="5"/>
  <c r="H253" i="5"/>
  <c r="J253" i="5" s="1"/>
  <c r="F253" i="5"/>
  <c r="H252" i="5"/>
  <c r="J252" i="5" s="1"/>
  <c r="F252" i="5"/>
  <c r="H251" i="5"/>
  <c r="K251" i="5" s="1"/>
  <c r="F251" i="5"/>
  <c r="H250" i="5"/>
  <c r="J250" i="5" s="1"/>
  <c r="F250" i="5"/>
  <c r="H249" i="5"/>
  <c r="J249" i="5" s="1"/>
  <c r="F249" i="5"/>
  <c r="H248" i="5"/>
  <c r="J248" i="5" s="1"/>
  <c r="F248" i="5"/>
  <c r="H247" i="5"/>
  <c r="J247" i="5" s="1"/>
  <c r="F247" i="5"/>
  <c r="H246" i="5"/>
  <c r="J246" i="5" s="1"/>
  <c r="F246" i="5"/>
  <c r="H245" i="5"/>
  <c r="J245" i="5" s="1"/>
  <c r="F245" i="5"/>
  <c r="H244" i="5"/>
  <c r="J244" i="5" s="1"/>
  <c r="F244" i="5"/>
  <c r="H243" i="5"/>
  <c r="J243" i="5" s="1"/>
  <c r="F243" i="5"/>
  <c r="H242" i="5"/>
  <c r="J242" i="5" s="1"/>
  <c r="F242" i="5"/>
  <c r="H241" i="5"/>
  <c r="J241" i="5" s="1"/>
  <c r="F241" i="5"/>
  <c r="H240" i="5"/>
  <c r="J240" i="5" s="1"/>
  <c r="F240" i="5"/>
  <c r="H239" i="5"/>
  <c r="K239" i="5" s="1"/>
  <c r="F239" i="5"/>
  <c r="H238" i="5"/>
  <c r="J238" i="5" s="1"/>
  <c r="F238" i="5"/>
  <c r="H237" i="5"/>
  <c r="J237" i="5" s="1"/>
  <c r="F237" i="5"/>
  <c r="H236" i="5"/>
  <c r="J236" i="5" s="1"/>
  <c r="F236" i="5"/>
  <c r="H235" i="5"/>
  <c r="K235" i="5" s="1"/>
  <c r="F235" i="5"/>
  <c r="H234" i="5"/>
  <c r="J234" i="5" s="1"/>
  <c r="F234" i="5"/>
  <c r="H233" i="5"/>
  <c r="J233" i="5" s="1"/>
  <c r="F233" i="5"/>
  <c r="H232" i="5"/>
  <c r="J232" i="5" s="1"/>
  <c r="F232" i="5"/>
  <c r="H231" i="5"/>
  <c r="K231" i="5" s="1"/>
  <c r="F231" i="5"/>
  <c r="H230" i="5"/>
  <c r="J230" i="5" s="1"/>
  <c r="F230" i="5"/>
  <c r="H229" i="5"/>
  <c r="J229" i="5" s="1"/>
  <c r="F229" i="5"/>
  <c r="H228" i="5"/>
  <c r="J228" i="5" s="1"/>
  <c r="F228" i="5"/>
  <c r="H227" i="5"/>
  <c r="K227" i="5" s="1"/>
  <c r="F227" i="5"/>
  <c r="H226" i="5"/>
  <c r="J226" i="5" s="1"/>
  <c r="F226" i="5"/>
  <c r="H225" i="5"/>
  <c r="J225" i="5" s="1"/>
  <c r="F225" i="5"/>
  <c r="H224" i="5"/>
  <c r="J224" i="5" s="1"/>
  <c r="F224" i="5"/>
  <c r="H223" i="5"/>
  <c r="K223" i="5" s="1"/>
  <c r="F223" i="5"/>
  <c r="H222" i="5"/>
  <c r="J222" i="5" s="1"/>
  <c r="F222" i="5"/>
  <c r="H221" i="5"/>
  <c r="J221" i="5" s="1"/>
  <c r="F221" i="5"/>
  <c r="H220" i="5"/>
  <c r="J220" i="5" s="1"/>
  <c r="F220" i="5"/>
  <c r="H219" i="5"/>
  <c r="K219" i="5" s="1"/>
  <c r="F219" i="5"/>
  <c r="H218" i="5"/>
  <c r="J218" i="5" s="1"/>
  <c r="F218" i="5"/>
  <c r="H217" i="5"/>
  <c r="J217" i="5" s="1"/>
  <c r="F217" i="5"/>
  <c r="H216" i="5"/>
  <c r="J216" i="5" s="1"/>
  <c r="F216" i="5"/>
  <c r="H215" i="5"/>
  <c r="K215" i="5" s="1"/>
  <c r="F215" i="5"/>
  <c r="H214" i="5"/>
  <c r="J214" i="5" s="1"/>
  <c r="F214" i="5"/>
  <c r="H213" i="5"/>
  <c r="J213" i="5" s="1"/>
  <c r="F213" i="5"/>
  <c r="H212" i="5"/>
  <c r="J212" i="5" s="1"/>
  <c r="F212" i="5"/>
  <c r="H211" i="5"/>
  <c r="J211" i="5" s="1"/>
  <c r="F211" i="5"/>
  <c r="H210" i="5"/>
  <c r="J210" i="5" s="1"/>
  <c r="F210" i="5"/>
  <c r="H209" i="5"/>
  <c r="J209" i="5" s="1"/>
  <c r="F209" i="5"/>
  <c r="H208" i="5"/>
  <c r="J208" i="5" s="1"/>
  <c r="F208" i="5"/>
  <c r="H207" i="5"/>
  <c r="K207" i="5" s="1"/>
  <c r="F207" i="5"/>
  <c r="H206" i="5"/>
  <c r="J206" i="5" s="1"/>
  <c r="F206" i="5"/>
  <c r="H205" i="5"/>
  <c r="J205" i="5" s="1"/>
  <c r="F205" i="5"/>
  <c r="H204" i="5"/>
  <c r="K204" i="5" s="1"/>
  <c r="F204" i="5"/>
  <c r="H203" i="5"/>
  <c r="J203" i="5" s="1"/>
  <c r="F203" i="5"/>
  <c r="H202" i="5"/>
  <c r="J202" i="5" s="1"/>
  <c r="F202" i="5"/>
  <c r="H201" i="5"/>
  <c r="J201" i="5" s="1"/>
  <c r="F201" i="5"/>
  <c r="H200" i="5"/>
  <c r="J200" i="5" s="1"/>
  <c r="F200" i="5"/>
  <c r="H199" i="5"/>
  <c r="K199" i="5" s="1"/>
  <c r="F199" i="5"/>
  <c r="H198" i="5"/>
  <c r="J198" i="5" s="1"/>
  <c r="F198" i="5"/>
  <c r="H197" i="5"/>
  <c r="J197" i="5" s="1"/>
  <c r="F197" i="5"/>
  <c r="H196" i="5"/>
  <c r="J196" i="5" s="1"/>
  <c r="F196" i="5"/>
  <c r="H195" i="5"/>
  <c r="K195" i="5" s="1"/>
  <c r="F195" i="5"/>
  <c r="H194" i="5"/>
  <c r="J194" i="5" s="1"/>
  <c r="F194" i="5"/>
  <c r="H193" i="5"/>
  <c r="J193" i="5" s="1"/>
  <c r="F193" i="5"/>
  <c r="H192" i="5"/>
  <c r="J192" i="5" s="1"/>
  <c r="F192" i="5"/>
  <c r="H191" i="5"/>
  <c r="J191" i="5" s="1"/>
  <c r="F191" i="5"/>
  <c r="H190" i="5"/>
  <c r="J190" i="5" s="1"/>
  <c r="F190" i="5"/>
  <c r="H189" i="5"/>
  <c r="J189" i="5" s="1"/>
  <c r="F189" i="5"/>
  <c r="H188" i="5"/>
  <c r="K188" i="5" s="1"/>
  <c r="F188" i="5"/>
  <c r="H187" i="5"/>
  <c r="K187" i="5" s="1"/>
  <c r="F187" i="5"/>
  <c r="H186" i="5"/>
  <c r="J186" i="5" s="1"/>
  <c r="F186" i="5"/>
  <c r="H185" i="5"/>
  <c r="J185" i="5" s="1"/>
  <c r="F185" i="5"/>
  <c r="H184" i="5"/>
  <c r="J184" i="5" s="1"/>
  <c r="F184" i="5"/>
  <c r="H183" i="5"/>
  <c r="J183" i="5" s="1"/>
  <c r="F183" i="5"/>
  <c r="H182" i="5"/>
  <c r="J182" i="5" s="1"/>
  <c r="F182" i="5"/>
  <c r="H181" i="5"/>
  <c r="J181" i="5" s="1"/>
  <c r="F181" i="5"/>
  <c r="H180" i="5"/>
  <c r="K180" i="5" s="1"/>
  <c r="F180" i="5"/>
  <c r="H179" i="5"/>
  <c r="K179" i="5" s="1"/>
  <c r="F179" i="5"/>
  <c r="H178" i="5"/>
  <c r="J178" i="5" s="1"/>
  <c r="F178" i="5"/>
  <c r="H177" i="5"/>
  <c r="J177" i="5" s="1"/>
  <c r="F177" i="5"/>
  <c r="H176" i="5"/>
  <c r="K176" i="5" s="1"/>
  <c r="F176" i="5"/>
  <c r="H175" i="5"/>
  <c r="J175" i="5" s="1"/>
  <c r="F175" i="5"/>
  <c r="H174" i="5"/>
  <c r="J174" i="5" s="1"/>
  <c r="F174" i="5"/>
  <c r="H173" i="5"/>
  <c r="J173" i="5" s="1"/>
  <c r="F173" i="5"/>
  <c r="H172" i="5"/>
  <c r="K172" i="5" s="1"/>
  <c r="F172" i="5"/>
  <c r="H171" i="5"/>
  <c r="K171" i="5" s="1"/>
  <c r="F171" i="5"/>
  <c r="H170" i="5"/>
  <c r="J170" i="5" s="1"/>
  <c r="F170" i="5"/>
  <c r="H169" i="5"/>
  <c r="J169" i="5" s="1"/>
  <c r="F169" i="5"/>
  <c r="H168" i="5"/>
  <c r="K168" i="5" s="1"/>
  <c r="F168" i="5"/>
  <c r="H167" i="5"/>
  <c r="K167" i="5" s="1"/>
  <c r="F167" i="5"/>
  <c r="H166" i="5"/>
  <c r="J166" i="5" s="1"/>
  <c r="F166" i="5"/>
  <c r="H165" i="5"/>
  <c r="J165" i="5" s="1"/>
  <c r="F165" i="5"/>
  <c r="H164" i="5"/>
  <c r="J164" i="5" s="1"/>
  <c r="F164" i="5"/>
  <c r="H163" i="5"/>
  <c r="K163" i="5" s="1"/>
  <c r="F163" i="5"/>
  <c r="H162" i="5"/>
  <c r="J162" i="5" s="1"/>
  <c r="F162" i="5"/>
  <c r="H161" i="5"/>
  <c r="J161" i="5" s="1"/>
  <c r="F161" i="5"/>
  <c r="H160" i="5"/>
  <c r="K160" i="5" s="1"/>
  <c r="F160" i="5"/>
  <c r="H159" i="5"/>
  <c r="K159" i="5" s="1"/>
  <c r="F159" i="5"/>
  <c r="H158" i="5"/>
  <c r="J158" i="5" s="1"/>
  <c r="F158" i="5"/>
  <c r="H157" i="5"/>
  <c r="J157" i="5" s="1"/>
  <c r="F157" i="5"/>
  <c r="H156" i="5"/>
  <c r="K156" i="5" s="1"/>
  <c r="F156" i="5"/>
  <c r="H155" i="5"/>
  <c r="K155" i="5" s="1"/>
  <c r="F155" i="5"/>
  <c r="H154" i="5"/>
  <c r="J154" i="5" s="1"/>
  <c r="F154" i="5"/>
  <c r="H153" i="5"/>
  <c r="J153" i="5" s="1"/>
  <c r="F153" i="5"/>
  <c r="H152" i="5"/>
  <c r="K152" i="5" s="1"/>
  <c r="F152" i="5"/>
  <c r="H151" i="5"/>
  <c r="J151" i="5" s="1"/>
  <c r="F151" i="5"/>
  <c r="H150" i="5"/>
  <c r="J150" i="5" s="1"/>
  <c r="F150" i="5"/>
  <c r="H149" i="5"/>
  <c r="J149" i="5" s="1"/>
  <c r="F149" i="5"/>
  <c r="H148" i="5"/>
  <c r="K148" i="5" s="1"/>
  <c r="F148" i="5"/>
  <c r="H147" i="5"/>
  <c r="K147" i="5" s="1"/>
  <c r="F147" i="5"/>
  <c r="H146" i="5"/>
  <c r="J146" i="5" s="1"/>
  <c r="F146" i="5"/>
  <c r="H145" i="5"/>
  <c r="J145" i="5" s="1"/>
  <c r="F145" i="5"/>
  <c r="H144" i="5"/>
  <c r="K144" i="5" s="1"/>
  <c r="F144" i="5"/>
  <c r="H143" i="5"/>
  <c r="K143" i="5" s="1"/>
  <c r="F143" i="5"/>
  <c r="H142" i="5"/>
  <c r="J142" i="5" s="1"/>
  <c r="F142" i="5"/>
  <c r="H141" i="5"/>
  <c r="J141" i="5" s="1"/>
  <c r="F141" i="5"/>
  <c r="H140" i="5"/>
  <c r="J140" i="5" s="1"/>
  <c r="F140" i="5"/>
  <c r="H139" i="5"/>
  <c r="K139" i="5" s="1"/>
  <c r="F139" i="5"/>
  <c r="H138" i="5"/>
  <c r="J138" i="5" s="1"/>
  <c r="F138" i="5"/>
  <c r="H137" i="5"/>
  <c r="J137" i="5" s="1"/>
  <c r="F137" i="5"/>
  <c r="H136" i="5"/>
  <c r="K136" i="5" s="1"/>
  <c r="F136" i="5"/>
  <c r="H135" i="5"/>
  <c r="J135" i="5" s="1"/>
  <c r="F135" i="5"/>
  <c r="H134" i="5"/>
  <c r="J134" i="5" s="1"/>
  <c r="F134" i="5"/>
  <c r="H133" i="5"/>
  <c r="J133" i="5" s="1"/>
  <c r="F133" i="5"/>
  <c r="H132" i="5"/>
  <c r="J132" i="5" s="1"/>
  <c r="F132" i="5"/>
  <c r="H131" i="5"/>
  <c r="K131" i="5" s="1"/>
  <c r="F131" i="5"/>
  <c r="H130" i="5"/>
  <c r="J130" i="5" s="1"/>
  <c r="F130" i="5"/>
  <c r="H129" i="5"/>
  <c r="J129" i="5" s="1"/>
  <c r="F129" i="5"/>
  <c r="H128" i="5"/>
  <c r="J128" i="5" s="1"/>
  <c r="F128" i="5"/>
  <c r="H127" i="5"/>
  <c r="K127" i="5" s="1"/>
  <c r="F127" i="5"/>
  <c r="H126" i="5"/>
  <c r="J126" i="5" s="1"/>
  <c r="F126" i="5"/>
  <c r="H125" i="5"/>
  <c r="J125" i="5" s="1"/>
  <c r="F125" i="5"/>
  <c r="H124" i="5"/>
  <c r="K124" i="5" s="1"/>
  <c r="F124" i="5"/>
  <c r="H123" i="5"/>
  <c r="K123" i="5" s="1"/>
  <c r="F123" i="5"/>
  <c r="H122" i="5"/>
  <c r="J122" i="5" s="1"/>
  <c r="F122" i="5"/>
  <c r="H121" i="5"/>
  <c r="J121" i="5" s="1"/>
  <c r="F121" i="5"/>
  <c r="H120" i="5"/>
  <c r="J120" i="5" s="1"/>
  <c r="F120" i="5"/>
  <c r="H119" i="5"/>
  <c r="J119" i="5" s="1"/>
  <c r="F119" i="5"/>
  <c r="H118" i="5"/>
  <c r="J118" i="5" s="1"/>
  <c r="F118" i="5"/>
  <c r="H117" i="5"/>
  <c r="J117" i="5" s="1"/>
  <c r="F117" i="5"/>
  <c r="H116" i="5"/>
  <c r="K116" i="5" s="1"/>
  <c r="F116" i="5"/>
  <c r="H115" i="5"/>
  <c r="J115" i="5" s="1"/>
  <c r="F115" i="5"/>
  <c r="H114" i="5"/>
  <c r="J114" i="5" s="1"/>
  <c r="F114" i="5"/>
  <c r="H113" i="5"/>
  <c r="J113" i="5" s="1"/>
  <c r="F113" i="5"/>
  <c r="H112" i="5"/>
  <c r="J112" i="5" s="1"/>
  <c r="F112" i="5"/>
  <c r="H111" i="5"/>
  <c r="J111" i="5" s="1"/>
  <c r="F111" i="5"/>
  <c r="H110" i="5"/>
  <c r="J110" i="5" s="1"/>
  <c r="F110" i="5"/>
  <c r="H109" i="5"/>
  <c r="J109" i="5" s="1"/>
  <c r="F109" i="5"/>
  <c r="H108" i="5"/>
  <c r="K108" i="5" s="1"/>
  <c r="F108" i="5"/>
  <c r="H107" i="5"/>
  <c r="J107" i="5" s="1"/>
  <c r="F107" i="5"/>
  <c r="H106" i="5"/>
  <c r="J106" i="5" s="1"/>
  <c r="F106" i="5"/>
  <c r="H105" i="5"/>
  <c r="J105" i="5" s="1"/>
  <c r="F105" i="5"/>
  <c r="H104" i="5"/>
  <c r="J104" i="5" s="1"/>
  <c r="F104" i="5"/>
  <c r="H103" i="5"/>
  <c r="J103" i="5" s="1"/>
  <c r="F103" i="5"/>
  <c r="H102" i="5"/>
  <c r="J102" i="5" s="1"/>
  <c r="F102" i="5"/>
  <c r="H101" i="5"/>
  <c r="J101" i="5" s="1"/>
  <c r="F101" i="5"/>
  <c r="H100" i="5"/>
  <c r="K100" i="5" s="1"/>
  <c r="F100" i="5"/>
  <c r="H99" i="5"/>
  <c r="J99" i="5" s="1"/>
  <c r="F99" i="5"/>
  <c r="H98" i="5"/>
  <c r="J98" i="5" s="1"/>
  <c r="F98" i="5"/>
  <c r="H97" i="5"/>
  <c r="J97" i="5" s="1"/>
  <c r="F97" i="5"/>
  <c r="H96" i="5"/>
  <c r="J96" i="5" s="1"/>
  <c r="F96" i="5"/>
  <c r="H95" i="5"/>
  <c r="K95" i="5" s="1"/>
  <c r="F95" i="5"/>
  <c r="H94" i="5"/>
  <c r="J94" i="5" s="1"/>
  <c r="F94" i="5"/>
  <c r="H93" i="5"/>
  <c r="J93" i="5" s="1"/>
  <c r="F93" i="5"/>
  <c r="H92" i="5"/>
  <c r="K92" i="5" s="1"/>
  <c r="F92" i="5"/>
  <c r="H91" i="5"/>
  <c r="J91" i="5" s="1"/>
  <c r="F91" i="5"/>
  <c r="H90" i="5"/>
  <c r="J90" i="5" s="1"/>
  <c r="F90" i="5"/>
  <c r="H89" i="5"/>
  <c r="J89" i="5" s="1"/>
  <c r="F89" i="5"/>
  <c r="H88" i="5"/>
  <c r="J88" i="5" s="1"/>
  <c r="F88" i="5"/>
  <c r="H87" i="5"/>
  <c r="K87" i="5" s="1"/>
  <c r="F87" i="5"/>
  <c r="H86" i="5"/>
  <c r="J86" i="5" s="1"/>
  <c r="F86" i="5"/>
  <c r="H85" i="5"/>
  <c r="J85" i="5" s="1"/>
  <c r="F85" i="5"/>
  <c r="H84" i="5"/>
  <c r="K84" i="5" s="1"/>
  <c r="F84" i="5"/>
  <c r="H83" i="5"/>
  <c r="J83" i="5" s="1"/>
  <c r="F83" i="5"/>
  <c r="H82" i="5"/>
  <c r="J82" i="5" s="1"/>
  <c r="F82" i="5"/>
  <c r="H81" i="5"/>
  <c r="J81" i="5" s="1"/>
  <c r="F81" i="5"/>
  <c r="H80" i="5"/>
  <c r="J80" i="5" s="1"/>
  <c r="F80" i="5"/>
  <c r="H79" i="5"/>
  <c r="K79" i="5" s="1"/>
  <c r="F79" i="5"/>
  <c r="H78" i="5"/>
  <c r="J78" i="5" s="1"/>
  <c r="F78" i="5"/>
  <c r="H77" i="5"/>
  <c r="J77" i="5" s="1"/>
  <c r="F77" i="5"/>
  <c r="H76" i="5"/>
  <c r="K76" i="5" s="1"/>
  <c r="F76" i="5"/>
  <c r="H75" i="5"/>
  <c r="J75" i="5" s="1"/>
  <c r="F75" i="5"/>
  <c r="H74" i="5"/>
  <c r="J74" i="5" s="1"/>
  <c r="F74" i="5"/>
  <c r="H73" i="5"/>
  <c r="J73" i="5" s="1"/>
  <c r="F73" i="5"/>
  <c r="H72" i="5"/>
  <c r="J72" i="5" s="1"/>
  <c r="F72" i="5"/>
  <c r="H71" i="5"/>
  <c r="K71" i="5" s="1"/>
  <c r="F71" i="5"/>
  <c r="H70" i="5"/>
  <c r="J70" i="5" s="1"/>
  <c r="F70" i="5"/>
  <c r="H69" i="5"/>
  <c r="J69" i="5" s="1"/>
  <c r="F69" i="5"/>
  <c r="H68" i="5"/>
  <c r="K68" i="5" s="1"/>
  <c r="F68" i="5"/>
  <c r="H67" i="5"/>
  <c r="J67" i="5" s="1"/>
  <c r="F67" i="5"/>
  <c r="H66" i="5"/>
  <c r="J66" i="5" s="1"/>
  <c r="F66" i="5"/>
  <c r="H65" i="5"/>
  <c r="J65" i="5" s="1"/>
  <c r="F65" i="5"/>
  <c r="H64" i="5"/>
  <c r="J64" i="5" s="1"/>
  <c r="F64" i="5"/>
  <c r="H63" i="5"/>
  <c r="K63" i="5" s="1"/>
  <c r="F63" i="5"/>
  <c r="H62" i="5"/>
  <c r="J62" i="5" s="1"/>
  <c r="F62" i="5"/>
  <c r="H61" i="5"/>
  <c r="J61" i="5" s="1"/>
  <c r="F61" i="5"/>
  <c r="H60" i="5"/>
  <c r="J60" i="5" s="1"/>
  <c r="F60" i="5"/>
  <c r="H59" i="5"/>
  <c r="K59" i="5" s="1"/>
  <c r="F59" i="5"/>
  <c r="H58" i="5"/>
  <c r="J58" i="5" s="1"/>
  <c r="F58" i="5"/>
  <c r="H57" i="5"/>
  <c r="J57" i="5" s="1"/>
  <c r="F57" i="5"/>
  <c r="H56" i="5"/>
  <c r="J56" i="5" s="1"/>
  <c r="F56" i="5"/>
  <c r="H55" i="5"/>
  <c r="K55" i="5" s="1"/>
  <c r="F55" i="5"/>
  <c r="H54" i="5"/>
  <c r="J54" i="5" s="1"/>
  <c r="F54" i="5"/>
  <c r="H53" i="5"/>
  <c r="J53" i="5" s="1"/>
  <c r="F53" i="5"/>
  <c r="H52" i="5"/>
  <c r="K52" i="5" s="1"/>
  <c r="F52" i="5"/>
  <c r="H51" i="5"/>
  <c r="K51" i="5" s="1"/>
  <c r="F51" i="5"/>
  <c r="H50" i="5"/>
  <c r="J50" i="5" s="1"/>
  <c r="F50" i="5"/>
  <c r="H49" i="5"/>
  <c r="J49" i="5" s="1"/>
  <c r="F49" i="5"/>
  <c r="H48" i="5"/>
  <c r="J48" i="5" s="1"/>
  <c r="F48" i="5"/>
  <c r="H47" i="5"/>
  <c r="K47" i="5" s="1"/>
  <c r="F47" i="5"/>
  <c r="H46" i="5"/>
  <c r="J46" i="5" s="1"/>
  <c r="F46" i="5"/>
  <c r="H45" i="5"/>
  <c r="J45" i="5" s="1"/>
  <c r="F45" i="5"/>
  <c r="H44" i="5"/>
  <c r="K44" i="5" s="1"/>
  <c r="F44" i="5"/>
  <c r="H43" i="5"/>
  <c r="K43" i="5" s="1"/>
  <c r="F43" i="5"/>
  <c r="H42" i="5"/>
  <c r="J42" i="5" s="1"/>
  <c r="F42" i="5"/>
  <c r="H41" i="5"/>
  <c r="J41" i="5" s="1"/>
  <c r="F41" i="5"/>
  <c r="H40" i="5"/>
  <c r="J40" i="5" s="1"/>
  <c r="F40" i="5"/>
  <c r="H39" i="5"/>
  <c r="K39" i="5" s="1"/>
  <c r="F39" i="5"/>
  <c r="H38" i="5"/>
  <c r="J38" i="5" s="1"/>
  <c r="F38" i="5"/>
  <c r="H37" i="5"/>
  <c r="J37" i="5" s="1"/>
  <c r="F37" i="5"/>
  <c r="H36" i="5"/>
  <c r="J36" i="5" s="1"/>
  <c r="F36" i="5"/>
  <c r="H35" i="5"/>
  <c r="K35" i="5" s="1"/>
  <c r="F35" i="5"/>
  <c r="H34" i="5"/>
  <c r="J34" i="5" s="1"/>
  <c r="F34" i="5"/>
  <c r="H33" i="5"/>
  <c r="J33" i="5" s="1"/>
  <c r="F33" i="5"/>
  <c r="H32" i="5"/>
  <c r="J32" i="5" s="1"/>
  <c r="F32" i="5"/>
  <c r="H31" i="5"/>
  <c r="K31" i="5" s="1"/>
  <c r="F31" i="5"/>
  <c r="H30" i="5"/>
  <c r="J30" i="5" s="1"/>
  <c r="F30" i="5"/>
  <c r="H29" i="5"/>
  <c r="J29" i="5" s="1"/>
  <c r="F29" i="5"/>
  <c r="H28" i="5"/>
  <c r="K28" i="5" s="1"/>
  <c r="F28" i="5"/>
  <c r="H27" i="5"/>
  <c r="J27" i="5" s="1"/>
  <c r="F27" i="5"/>
  <c r="H26" i="5"/>
  <c r="J26" i="5" s="1"/>
  <c r="F26" i="5"/>
  <c r="H25" i="5"/>
  <c r="J25" i="5" s="1"/>
  <c r="F25" i="5"/>
  <c r="H24" i="5"/>
  <c r="J24" i="5" s="1"/>
  <c r="F24" i="5"/>
  <c r="H23" i="5"/>
  <c r="J23" i="5" s="1"/>
  <c r="F23" i="5"/>
  <c r="H22" i="5"/>
  <c r="J22" i="5" s="1"/>
  <c r="F22" i="5"/>
  <c r="H21" i="5"/>
  <c r="J21" i="5" s="1"/>
  <c r="F21" i="5"/>
  <c r="H20" i="5"/>
  <c r="K20" i="5" s="1"/>
  <c r="F20" i="5"/>
  <c r="H19" i="5"/>
  <c r="J19" i="5" s="1"/>
  <c r="F19" i="5"/>
  <c r="H18" i="5"/>
  <c r="J18" i="5" s="1"/>
  <c r="F18" i="5"/>
  <c r="H17" i="5"/>
  <c r="J17" i="5" s="1"/>
  <c r="F17" i="5"/>
  <c r="H16" i="5"/>
  <c r="J16" i="5" s="1"/>
  <c r="F16" i="5"/>
  <c r="H15" i="5"/>
  <c r="K15" i="5" s="1"/>
  <c r="F15" i="5"/>
  <c r="H14" i="5"/>
  <c r="J14" i="5" s="1"/>
  <c r="F14" i="5"/>
  <c r="H13" i="5"/>
  <c r="J13" i="5" s="1"/>
  <c r="F13" i="5"/>
  <c r="H12" i="5"/>
  <c r="K12" i="5" s="1"/>
  <c r="F12" i="5"/>
  <c r="H11" i="5"/>
  <c r="J11" i="5" s="1"/>
  <c r="F11" i="5"/>
  <c r="H10" i="5"/>
  <c r="J10" i="5" s="1"/>
  <c r="F10" i="5"/>
  <c r="H9" i="5"/>
  <c r="J9" i="5" s="1"/>
  <c r="F9" i="5"/>
  <c r="H8" i="5"/>
  <c r="J8" i="5" s="1"/>
  <c r="F8" i="5"/>
  <c r="H7" i="5"/>
  <c r="K7" i="5" s="1"/>
  <c r="F7" i="5"/>
  <c r="J6" i="5"/>
  <c r="F6" i="5"/>
  <c r="H5" i="5"/>
  <c r="J5" i="5" s="1"/>
  <c r="F5" i="5"/>
  <c r="H4" i="5"/>
  <c r="K4" i="5" s="1"/>
  <c r="F4" i="5"/>
  <c r="H3" i="5"/>
  <c r="K3" i="5" s="1"/>
  <c r="F3" i="5"/>
  <c r="H2" i="5"/>
  <c r="J2" i="5" s="1"/>
  <c r="F2" i="5"/>
  <c r="F2" i="7" l="1"/>
  <c r="C6" i="7"/>
  <c r="C4" i="7"/>
  <c r="B281" i="7"/>
  <c r="B273" i="7"/>
  <c r="B265" i="7"/>
  <c r="B257" i="7"/>
  <c r="B249" i="7"/>
  <c r="B241" i="7"/>
  <c r="B233" i="7"/>
  <c r="B217" i="7"/>
  <c r="B209" i="7"/>
  <c r="B201" i="7"/>
  <c r="B193" i="7"/>
  <c r="B185" i="7"/>
  <c r="B177" i="7"/>
  <c r="B169" i="7"/>
  <c r="B161" i="7"/>
  <c r="B153" i="7"/>
  <c r="B145" i="7"/>
  <c r="B137" i="7"/>
  <c r="I100" i="7"/>
  <c r="I182" i="7"/>
  <c r="I268" i="7"/>
  <c r="F7" i="7"/>
  <c r="F5" i="7"/>
  <c r="F3" i="7"/>
  <c r="E7" i="7"/>
  <c r="E5" i="7"/>
  <c r="E3" i="7"/>
  <c r="B295" i="7"/>
  <c r="B135" i="7"/>
  <c r="B127" i="7"/>
  <c r="B119" i="7"/>
  <c r="B111" i="7"/>
  <c r="B103" i="7"/>
  <c r="B95" i="7"/>
  <c r="B87" i="7"/>
  <c r="B79" i="7"/>
  <c r="B71" i="7"/>
  <c r="B63" i="7"/>
  <c r="B55" i="7"/>
  <c r="B47" i="7"/>
  <c r="B39" i="7"/>
  <c r="B31" i="7"/>
  <c r="B23" i="7"/>
  <c r="B15" i="7"/>
  <c r="B7" i="7"/>
  <c r="D7" i="7"/>
  <c r="D5" i="7"/>
  <c r="D3" i="7"/>
  <c r="B294" i="7"/>
  <c r="B286" i="7"/>
  <c r="B278" i="7"/>
  <c r="B262" i="7"/>
  <c r="B254" i="7"/>
  <c r="B246" i="7"/>
  <c r="B230" i="7"/>
  <c r="B222" i="7"/>
  <c r="B214" i="7"/>
  <c r="B206" i="7"/>
  <c r="B198" i="7"/>
  <c r="B190" i="7"/>
  <c r="B174" i="7"/>
  <c r="B166" i="7"/>
  <c r="B158" i="7"/>
  <c r="B150" i="7"/>
  <c r="B142" i="7"/>
  <c r="B126" i="7"/>
  <c r="B118" i="7"/>
  <c r="B110" i="7"/>
  <c r="B102" i="7"/>
  <c r="B94" i="7"/>
  <c r="B86" i="7"/>
  <c r="B78" i="7"/>
  <c r="B70" i="7"/>
  <c r="B62" i="7"/>
  <c r="B54" i="7"/>
  <c r="B46" i="7"/>
  <c r="B38" i="7"/>
  <c r="B30" i="7"/>
  <c r="B22" i="7"/>
  <c r="B14" i="7"/>
  <c r="B6" i="7"/>
  <c r="I180" i="7"/>
  <c r="B2" i="7"/>
  <c r="C7" i="7"/>
  <c r="C5" i="7"/>
  <c r="C3" i="7"/>
  <c r="B293" i="7"/>
  <c r="B285" i="7"/>
  <c r="B277" i="7"/>
  <c r="B269" i="7"/>
  <c r="B261" i="7"/>
  <c r="B253" i="7"/>
  <c r="B245" i="7"/>
  <c r="B237" i="7"/>
  <c r="B229" i="7"/>
  <c r="B221" i="7"/>
  <c r="B213" i="7"/>
  <c r="B205" i="7"/>
  <c r="B197" i="7"/>
  <c r="B189" i="7"/>
  <c r="B181" i="7"/>
  <c r="B173" i="7"/>
  <c r="B165" i="7"/>
  <c r="B157" i="7"/>
  <c r="B149" i="7"/>
  <c r="B141" i="7"/>
  <c r="B133" i="7"/>
  <c r="B125" i="7"/>
  <c r="B117" i="7"/>
  <c r="B109" i="7"/>
  <c r="B101" i="7"/>
  <c r="B93" i="7"/>
  <c r="B85" i="7"/>
  <c r="B77" i="7"/>
  <c r="B69" i="7"/>
  <c r="B61" i="7"/>
  <c r="B53" i="7"/>
  <c r="B45" i="7"/>
  <c r="B37" i="7"/>
  <c r="B29" i="7"/>
  <c r="B21" i="7"/>
  <c r="B13" i="7"/>
  <c r="B5" i="7"/>
  <c r="C2" i="7"/>
  <c r="F6" i="7"/>
  <c r="F4" i="7"/>
  <c r="B300" i="7"/>
  <c r="B292" i="7"/>
  <c r="B284" i="7"/>
  <c r="B276" i="7"/>
  <c r="B260" i="7"/>
  <c r="B252" i="7"/>
  <c r="B244" i="7"/>
  <c r="B236" i="7"/>
  <c r="B228" i="7"/>
  <c r="B220" i="7"/>
  <c r="B212" i="7"/>
  <c r="B204" i="7"/>
  <c r="B196" i="7"/>
  <c r="B188" i="7"/>
  <c r="B172" i="7"/>
  <c r="B164" i="7"/>
  <c r="B156" i="7"/>
  <c r="B148" i="7"/>
  <c r="B140" i="7"/>
  <c r="B132" i="7"/>
  <c r="B124" i="7"/>
  <c r="B116" i="7"/>
  <c r="B108" i="7"/>
  <c r="B92" i="7"/>
  <c r="B84" i="7"/>
  <c r="B76" i="7"/>
  <c r="B68" i="7"/>
  <c r="B60" i="7"/>
  <c r="B52" i="7"/>
  <c r="B44" i="7"/>
  <c r="B36" i="7"/>
  <c r="B28" i="7"/>
  <c r="B20" i="7"/>
  <c r="B12" i="7"/>
  <c r="B4" i="7"/>
  <c r="E6" i="7"/>
  <c r="E4" i="7"/>
  <c r="B291" i="7"/>
  <c r="B283" i="7"/>
  <c r="B275" i="7"/>
  <c r="B259" i="7"/>
  <c r="B251" i="7"/>
  <c r="B243" i="7"/>
  <c r="B235" i="7"/>
  <c r="B227" i="7"/>
  <c r="B219" i="7"/>
  <c r="B211" i="7"/>
  <c r="B203" i="7"/>
  <c r="B195" i="7"/>
  <c r="B155" i="7"/>
  <c r="B139" i="7"/>
  <c r="B83" i="7"/>
  <c r="B75" i="7"/>
  <c r="B59" i="7"/>
  <c r="B51" i="7"/>
  <c r="B43" i="7"/>
  <c r="B35" i="7"/>
  <c r="B27" i="7"/>
  <c r="B19" i="7"/>
  <c r="B11" i="7"/>
  <c r="B3" i="7"/>
  <c r="H166" i="7"/>
  <c r="H45" i="7"/>
  <c r="H78" i="7"/>
  <c r="H55" i="7"/>
  <c r="J55" i="7" s="1"/>
  <c r="K55" i="7" s="1"/>
  <c r="H245" i="7"/>
  <c r="J245" i="7" s="1"/>
  <c r="K245" i="7" s="1"/>
  <c r="H25" i="7"/>
  <c r="H26" i="7"/>
  <c r="H75" i="7"/>
  <c r="J75" i="7" s="1"/>
  <c r="K75" i="7" s="1"/>
  <c r="H14" i="7"/>
  <c r="J14" i="7" s="1"/>
  <c r="K14" i="7" s="1"/>
  <c r="H150" i="7"/>
  <c r="J150" i="7" s="1"/>
  <c r="K150" i="7" s="1"/>
  <c r="H21" i="7"/>
  <c r="J21" i="7" s="1"/>
  <c r="K21" i="7" s="1"/>
  <c r="H50" i="7"/>
  <c r="H300" i="7"/>
  <c r="J300" i="7" s="1"/>
  <c r="K300" i="7" s="1"/>
  <c r="H11" i="7"/>
  <c r="J11" i="7" s="1"/>
  <c r="K11" i="7" s="1"/>
  <c r="H68" i="7"/>
  <c r="J68" i="7" s="1"/>
  <c r="K68" i="7" s="1"/>
  <c r="H127" i="7"/>
  <c r="J127" i="7" s="1"/>
  <c r="K127" i="7" s="1"/>
  <c r="H145" i="7"/>
  <c r="J145" i="7" s="1"/>
  <c r="K145" i="7" s="1"/>
  <c r="H213" i="7"/>
  <c r="J213" i="7" s="1"/>
  <c r="K213" i="7" s="1"/>
  <c r="H161" i="7"/>
  <c r="J161" i="7" s="1"/>
  <c r="K161" i="7" s="1"/>
  <c r="H221" i="7"/>
  <c r="J221" i="7" s="1"/>
  <c r="K221" i="7" s="1"/>
  <c r="H205" i="7"/>
  <c r="J205" i="7" s="1"/>
  <c r="K205" i="7" s="1"/>
  <c r="H237" i="7"/>
  <c r="J237" i="7" s="1"/>
  <c r="K237" i="7" s="1"/>
  <c r="H286" i="7"/>
  <c r="J286" i="7" s="1"/>
  <c r="K286" i="7" s="1"/>
  <c r="H197" i="7"/>
  <c r="J197" i="7" s="1"/>
  <c r="K197" i="7" s="1"/>
  <c r="H229" i="7"/>
  <c r="J229" i="7" s="1"/>
  <c r="K229" i="7" s="1"/>
  <c r="H189" i="7"/>
  <c r="J189" i="7" s="1"/>
  <c r="K189" i="7" s="1"/>
  <c r="H2" i="7"/>
  <c r="H17" i="7"/>
  <c r="H37" i="7"/>
  <c r="J37" i="7" s="1"/>
  <c r="K37" i="7" s="1"/>
  <c r="H42" i="7"/>
  <c r="H47" i="7"/>
  <c r="J47" i="7" s="1"/>
  <c r="K47" i="7" s="1"/>
  <c r="H60" i="7"/>
  <c r="J60" i="7" s="1"/>
  <c r="K60" i="7" s="1"/>
  <c r="H67" i="7"/>
  <c r="J67" i="7" s="1"/>
  <c r="K67" i="7" s="1"/>
  <c r="H70" i="7"/>
  <c r="J70" i="7" s="1"/>
  <c r="K70" i="7" s="1"/>
  <c r="H81" i="7"/>
  <c r="H142" i="7"/>
  <c r="J142" i="7" s="1"/>
  <c r="K142" i="7" s="1"/>
  <c r="H158" i="7"/>
  <c r="H181" i="7"/>
  <c r="J181" i="7" s="1"/>
  <c r="K181" i="7" s="1"/>
  <c r="H292" i="7"/>
  <c r="J292" i="7" s="1"/>
  <c r="K292" i="7" s="1"/>
  <c r="H9" i="7"/>
  <c r="H29" i="7"/>
  <c r="J29" i="7" s="1"/>
  <c r="K29" i="7" s="1"/>
  <c r="H34" i="7"/>
  <c r="H39" i="7"/>
  <c r="J39" i="7" s="1"/>
  <c r="K39" i="7" s="1"/>
  <c r="H52" i="7"/>
  <c r="H59" i="7"/>
  <c r="J59" i="7" s="1"/>
  <c r="K59" i="7" s="1"/>
  <c r="H62" i="7"/>
  <c r="J62" i="7" s="1"/>
  <c r="K62" i="7" s="1"/>
  <c r="H73" i="7"/>
  <c r="H92" i="7"/>
  <c r="J92" i="7" s="1"/>
  <c r="K92" i="7" s="1"/>
  <c r="H93" i="7"/>
  <c r="J93" i="7" s="1"/>
  <c r="K93" i="7" s="1"/>
  <c r="H100" i="7"/>
  <c r="J100" i="7" s="1"/>
  <c r="K100" i="7" s="1"/>
  <c r="H101" i="7"/>
  <c r="H108" i="7"/>
  <c r="J108" i="7" s="1"/>
  <c r="K108" i="7" s="1"/>
  <c r="H109" i="7"/>
  <c r="J109" i="7" s="1"/>
  <c r="K109" i="7" s="1"/>
  <c r="H116" i="7"/>
  <c r="J116" i="7" s="1"/>
  <c r="K116" i="7" s="1"/>
  <c r="H117" i="7"/>
  <c r="J117" i="7" s="1"/>
  <c r="K117" i="7" s="1"/>
  <c r="H124" i="7"/>
  <c r="J124" i="7" s="1"/>
  <c r="K124" i="7" s="1"/>
  <c r="H125" i="7"/>
  <c r="J125" i="7" s="1"/>
  <c r="K125" i="7" s="1"/>
  <c r="H130" i="7"/>
  <c r="J130" i="7" s="1"/>
  <c r="K130" i="7" s="1"/>
  <c r="H133" i="7"/>
  <c r="J133" i="7" s="1"/>
  <c r="K133" i="7" s="1"/>
  <c r="H278" i="7"/>
  <c r="H289" i="7"/>
  <c r="J289" i="7" s="1"/>
  <c r="K289" i="7" s="1"/>
  <c r="H31" i="7"/>
  <c r="J31" i="7" s="1"/>
  <c r="K31" i="7" s="1"/>
  <c r="H44" i="7"/>
  <c r="J44" i="7" s="1"/>
  <c r="K44" i="7" s="1"/>
  <c r="H51" i="7"/>
  <c r="J51" i="7" s="1"/>
  <c r="K51" i="7" s="1"/>
  <c r="H54" i="7"/>
  <c r="J54" i="7" s="1"/>
  <c r="K54" i="7" s="1"/>
  <c r="H65" i="7"/>
  <c r="H85" i="7"/>
  <c r="J85" i="7" s="1"/>
  <c r="K85" i="7" s="1"/>
  <c r="H90" i="7"/>
  <c r="J90" i="7" s="1"/>
  <c r="K90" i="7" s="1"/>
  <c r="H98" i="7"/>
  <c r="H106" i="7"/>
  <c r="J106" i="7" s="1"/>
  <c r="K106" i="7" s="1"/>
  <c r="H114" i="7"/>
  <c r="J114" i="7" s="1"/>
  <c r="K114" i="7" s="1"/>
  <c r="H122" i="7"/>
  <c r="J122" i="7" s="1"/>
  <c r="K122" i="7" s="1"/>
  <c r="H135" i="7"/>
  <c r="J135" i="7" s="1"/>
  <c r="K135" i="7" s="1"/>
  <c r="H149" i="7"/>
  <c r="J149" i="7" s="1"/>
  <c r="K149" i="7" s="1"/>
  <c r="H165" i="7"/>
  <c r="J165" i="7" s="1"/>
  <c r="K165" i="7" s="1"/>
  <c r="H173" i="7"/>
  <c r="H188" i="7"/>
  <c r="J188" i="7" s="1"/>
  <c r="K188" i="7" s="1"/>
  <c r="H195" i="7"/>
  <c r="J195" i="7" s="1"/>
  <c r="K195" i="7" s="1"/>
  <c r="H196" i="7"/>
  <c r="J196" i="7" s="1"/>
  <c r="K196" i="7" s="1"/>
  <c r="H203" i="7"/>
  <c r="J203" i="7" s="1"/>
  <c r="K203" i="7" s="1"/>
  <c r="H204" i="7"/>
  <c r="J204" i="7" s="1"/>
  <c r="K204" i="7" s="1"/>
  <c r="H211" i="7"/>
  <c r="J211" i="7" s="1"/>
  <c r="K211" i="7" s="1"/>
  <c r="H212" i="7"/>
  <c r="H219" i="7"/>
  <c r="H220" i="7"/>
  <c r="J220" i="7" s="1"/>
  <c r="K220" i="7" s="1"/>
  <c r="H227" i="7"/>
  <c r="J227" i="7" s="1"/>
  <c r="K227" i="7" s="1"/>
  <c r="H228" i="7"/>
  <c r="J228" i="7" s="1"/>
  <c r="K228" i="7" s="1"/>
  <c r="H235" i="7"/>
  <c r="J235" i="7" s="1"/>
  <c r="K235" i="7" s="1"/>
  <c r="H236" i="7"/>
  <c r="J236" i="7" s="1"/>
  <c r="K236" i="7" s="1"/>
  <c r="H243" i="7"/>
  <c r="J243" i="7" s="1"/>
  <c r="K243" i="7" s="1"/>
  <c r="H244" i="7"/>
  <c r="J244" i="7" s="1"/>
  <c r="K244" i="7" s="1"/>
  <c r="H284" i="7"/>
  <c r="J284" i="7" s="1"/>
  <c r="K284" i="7" s="1"/>
  <c r="H3" i="7"/>
  <c r="J3" i="7" s="1"/>
  <c r="K3" i="7" s="1"/>
  <c r="H13" i="7"/>
  <c r="J13" i="7" s="1"/>
  <c r="K13" i="7" s="1"/>
  <c r="H18" i="7"/>
  <c r="H23" i="7"/>
  <c r="J23" i="7" s="1"/>
  <c r="K23" i="7" s="1"/>
  <c r="H36" i="7"/>
  <c r="J36" i="7" s="1"/>
  <c r="K36" i="7" s="1"/>
  <c r="H43" i="7"/>
  <c r="J43" i="7" s="1"/>
  <c r="K43" i="7" s="1"/>
  <c r="H46" i="7"/>
  <c r="J46" i="7" s="1"/>
  <c r="K46" i="7" s="1"/>
  <c r="H57" i="7"/>
  <c r="H77" i="7"/>
  <c r="J77" i="7" s="1"/>
  <c r="K77" i="7" s="1"/>
  <c r="H82" i="7"/>
  <c r="H87" i="7"/>
  <c r="J87" i="7" s="1"/>
  <c r="K87" i="7" s="1"/>
  <c r="H95" i="7"/>
  <c r="J95" i="7" s="1"/>
  <c r="K95" i="7" s="1"/>
  <c r="H103" i="7"/>
  <c r="J103" i="7" s="1"/>
  <c r="K103" i="7" s="1"/>
  <c r="H111" i="7"/>
  <c r="J111" i="7" s="1"/>
  <c r="K111" i="7" s="1"/>
  <c r="H119" i="7"/>
  <c r="J119" i="7" s="1"/>
  <c r="K119" i="7" s="1"/>
  <c r="H141" i="7"/>
  <c r="H157" i="7"/>
  <c r="J157" i="7" s="1"/>
  <c r="K157" i="7" s="1"/>
  <c r="H180" i="7"/>
  <c r="J180" i="7" s="1"/>
  <c r="K180" i="7" s="1"/>
  <c r="H187" i="7"/>
  <c r="H193" i="7"/>
  <c r="J193" i="7" s="1"/>
  <c r="K193" i="7" s="1"/>
  <c r="H201" i="7"/>
  <c r="J201" i="7" s="1"/>
  <c r="K201" i="7" s="1"/>
  <c r="H209" i="7"/>
  <c r="J209" i="7" s="1"/>
  <c r="K209" i="7" s="1"/>
  <c r="H270" i="7"/>
  <c r="H281" i="7"/>
  <c r="H10" i="7"/>
  <c r="H15" i="7"/>
  <c r="J15" i="7" s="1"/>
  <c r="K15" i="7" s="1"/>
  <c r="H28" i="7"/>
  <c r="J28" i="7" s="1"/>
  <c r="K28" i="7" s="1"/>
  <c r="H35" i="7"/>
  <c r="J35" i="7" s="1"/>
  <c r="K35" i="7" s="1"/>
  <c r="H38" i="7"/>
  <c r="J38" i="7" s="1"/>
  <c r="K38" i="7" s="1"/>
  <c r="H49" i="7"/>
  <c r="H69" i="7"/>
  <c r="J69" i="7" s="1"/>
  <c r="K69" i="7" s="1"/>
  <c r="H74" i="7"/>
  <c r="H79" i="7"/>
  <c r="J79" i="7" s="1"/>
  <c r="K79" i="7" s="1"/>
  <c r="H132" i="7"/>
  <c r="J132" i="7" s="1"/>
  <c r="K132" i="7" s="1"/>
  <c r="H179" i="7"/>
  <c r="H185" i="7"/>
  <c r="J185" i="7" s="1"/>
  <c r="K185" i="7" s="1"/>
  <c r="H190" i="7"/>
  <c r="J190" i="7" s="1"/>
  <c r="K190" i="7" s="1"/>
  <c r="H198" i="7"/>
  <c r="J198" i="7" s="1"/>
  <c r="K198" i="7" s="1"/>
  <c r="H206" i="7"/>
  <c r="J206" i="7" s="1"/>
  <c r="K206" i="7" s="1"/>
  <c r="H214" i="7"/>
  <c r="J214" i="7" s="1"/>
  <c r="K214" i="7" s="1"/>
  <c r="H222" i="7"/>
  <c r="J222" i="7" s="1"/>
  <c r="K222" i="7" s="1"/>
  <c r="H230" i="7"/>
  <c r="J230" i="7" s="1"/>
  <c r="K230" i="7" s="1"/>
  <c r="H238" i="7"/>
  <c r="J238" i="7" s="1"/>
  <c r="K238" i="7" s="1"/>
  <c r="H246" i="7"/>
  <c r="J246" i="7" s="1"/>
  <c r="K246" i="7" s="1"/>
  <c r="H261" i="7"/>
  <c r="J261" i="7" s="1"/>
  <c r="K261" i="7" s="1"/>
  <c r="H276" i="7"/>
  <c r="J276" i="7" s="1"/>
  <c r="K276" i="7" s="1"/>
  <c r="H5" i="7"/>
  <c r="J5" i="7" s="1"/>
  <c r="K5" i="7" s="1"/>
  <c r="H7" i="7"/>
  <c r="J7" i="7" s="1"/>
  <c r="K7" i="7" s="1"/>
  <c r="H20" i="7"/>
  <c r="J20" i="7" s="1"/>
  <c r="K20" i="7" s="1"/>
  <c r="H27" i="7"/>
  <c r="J27" i="7" s="1"/>
  <c r="K27" i="7" s="1"/>
  <c r="H30" i="7"/>
  <c r="J30" i="7" s="1"/>
  <c r="K30" i="7" s="1"/>
  <c r="H41" i="7"/>
  <c r="H61" i="7"/>
  <c r="J61" i="7" s="1"/>
  <c r="K61" i="7" s="1"/>
  <c r="H66" i="7"/>
  <c r="H71" i="7"/>
  <c r="J71" i="7" s="1"/>
  <c r="K71" i="7" s="1"/>
  <c r="H84" i="7"/>
  <c r="H138" i="7"/>
  <c r="J138" i="7" s="1"/>
  <c r="K138" i="7" s="1"/>
  <c r="H148" i="7"/>
  <c r="J148" i="7" s="1"/>
  <c r="K148" i="7" s="1"/>
  <c r="H154" i="7"/>
  <c r="J154" i="7" s="1"/>
  <c r="K154" i="7" s="1"/>
  <c r="H164" i="7"/>
  <c r="J164" i="7" s="1"/>
  <c r="K164" i="7" s="1"/>
  <c r="H170" i="7"/>
  <c r="J170" i="7" s="1"/>
  <c r="K170" i="7" s="1"/>
  <c r="H172" i="7"/>
  <c r="J172" i="7" s="1"/>
  <c r="K172" i="7" s="1"/>
  <c r="H177" i="7"/>
  <c r="J177" i="7" s="1"/>
  <c r="K177" i="7" s="1"/>
  <c r="H182" i="7"/>
  <c r="J182" i="7" s="1"/>
  <c r="K182" i="7" s="1"/>
  <c r="H262" i="7"/>
  <c r="J262" i="7" s="1"/>
  <c r="K262" i="7" s="1"/>
  <c r="H273" i="7"/>
  <c r="J273" i="7" s="1"/>
  <c r="K273" i="7" s="1"/>
  <c r="H294" i="7"/>
  <c r="J294" i="7" s="1"/>
  <c r="K294" i="7" s="1"/>
  <c r="H295" i="7"/>
  <c r="J295" i="7" s="1"/>
  <c r="K295" i="7" s="1"/>
  <c r="H12" i="7"/>
  <c r="J12" i="7" s="1"/>
  <c r="K12" i="7" s="1"/>
  <c r="H19" i="7"/>
  <c r="J19" i="7" s="1"/>
  <c r="K19" i="7" s="1"/>
  <c r="H22" i="7"/>
  <c r="J22" i="7" s="1"/>
  <c r="K22" i="7" s="1"/>
  <c r="H33" i="7"/>
  <c r="J45" i="7"/>
  <c r="K45" i="7" s="1"/>
  <c r="H53" i="7"/>
  <c r="J53" i="7" s="1"/>
  <c r="K53" i="7" s="1"/>
  <c r="H58" i="7"/>
  <c r="H63" i="7"/>
  <c r="J63" i="7" s="1"/>
  <c r="K63" i="7" s="1"/>
  <c r="H76" i="7"/>
  <c r="J76" i="7" s="1"/>
  <c r="K76" i="7" s="1"/>
  <c r="H83" i="7"/>
  <c r="J83" i="7" s="1"/>
  <c r="K83" i="7" s="1"/>
  <c r="H86" i="7"/>
  <c r="J86" i="7" s="1"/>
  <c r="K86" i="7" s="1"/>
  <c r="H94" i="7"/>
  <c r="J94" i="7" s="1"/>
  <c r="K94" i="7" s="1"/>
  <c r="H102" i="7"/>
  <c r="J102" i="7" s="1"/>
  <c r="K102" i="7" s="1"/>
  <c r="H110" i="7"/>
  <c r="J110" i="7" s="1"/>
  <c r="K110" i="7" s="1"/>
  <c r="H118" i="7"/>
  <c r="J118" i="7" s="1"/>
  <c r="K118" i="7" s="1"/>
  <c r="H126" i="7"/>
  <c r="J126" i="7" s="1"/>
  <c r="K126" i="7" s="1"/>
  <c r="H134" i="7"/>
  <c r="J134" i="7" s="1"/>
  <c r="K134" i="7" s="1"/>
  <c r="H137" i="7"/>
  <c r="J137" i="7" s="1"/>
  <c r="K137" i="7" s="1"/>
  <c r="H139" i="7"/>
  <c r="J139" i="7" s="1"/>
  <c r="K139" i="7" s="1"/>
  <c r="H140" i="7"/>
  <c r="J140" i="7" s="1"/>
  <c r="K140" i="7" s="1"/>
  <c r="H147" i="7"/>
  <c r="H153" i="7"/>
  <c r="J153" i="7" s="1"/>
  <c r="K153" i="7" s="1"/>
  <c r="H155" i="7"/>
  <c r="J155" i="7" s="1"/>
  <c r="K155" i="7" s="1"/>
  <c r="H156" i="7"/>
  <c r="J156" i="7" s="1"/>
  <c r="K156" i="7" s="1"/>
  <c r="H163" i="7"/>
  <c r="H169" i="7"/>
  <c r="J169" i="7" s="1"/>
  <c r="K169" i="7" s="1"/>
  <c r="H171" i="7"/>
  <c r="H253" i="7"/>
  <c r="J253" i="7" s="1"/>
  <c r="K253" i="7" s="1"/>
  <c r="H267" i="7"/>
  <c r="J267" i="7" s="1"/>
  <c r="K267" i="7" s="1"/>
  <c r="H268" i="7"/>
  <c r="J268" i="7" s="1"/>
  <c r="K268" i="7" s="1"/>
  <c r="H298" i="7"/>
  <c r="J298" i="7" s="1"/>
  <c r="K298" i="7" s="1"/>
  <c r="H251" i="7"/>
  <c r="J251" i="7" s="1"/>
  <c r="K251" i="7" s="1"/>
  <c r="H252" i="7"/>
  <c r="J252" i="7" s="1"/>
  <c r="K252" i="7" s="1"/>
  <c r="H259" i="7"/>
  <c r="J259" i="7" s="1"/>
  <c r="K259" i="7" s="1"/>
  <c r="H260" i="7"/>
  <c r="J260" i="7" s="1"/>
  <c r="K260" i="7" s="1"/>
  <c r="H265" i="7"/>
  <c r="J265" i="7" s="1"/>
  <c r="K265" i="7" s="1"/>
  <c r="H299" i="7"/>
  <c r="H217" i="7"/>
  <c r="J217" i="7" s="1"/>
  <c r="K217" i="7" s="1"/>
  <c r="H225" i="7"/>
  <c r="J225" i="7" s="1"/>
  <c r="K225" i="7" s="1"/>
  <c r="H233" i="7"/>
  <c r="J233" i="7" s="1"/>
  <c r="K233" i="7" s="1"/>
  <c r="H241" i="7"/>
  <c r="J241" i="7" s="1"/>
  <c r="K241" i="7" s="1"/>
  <c r="H249" i="7"/>
  <c r="J249" i="7" s="1"/>
  <c r="K249" i="7" s="1"/>
  <c r="H257" i="7"/>
  <c r="J257" i="7" s="1"/>
  <c r="K257" i="7" s="1"/>
  <c r="H254" i="7"/>
  <c r="J254" i="7" s="1"/>
  <c r="K254" i="7" s="1"/>
  <c r="H275" i="7"/>
  <c r="J275" i="7" s="1"/>
  <c r="K275" i="7" s="1"/>
  <c r="H283" i="7"/>
  <c r="J283" i="7" s="1"/>
  <c r="K283" i="7" s="1"/>
  <c r="H291" i="7"/>
  <c r="J291" i="7" s="1"/>
  <c r="K291" i="7" s="1"/>
  <c r="H174" i="7"/>
  <c r="J174" i="7" s="1"/>
  <c r="K174" i="7" s="1"/>
  <c r="H269" i="7"/>
  <c r="J269" i="7" s="1"/>
  <c r="K269" i="7" s="1"/>
  <c r="H277" i="7"/>
  <c r="J277" i="7" s="1"/>
  <c r="K277" i="7" s="1"/>
  <c r="H285" i="7"/>
  <c r="J285" i="7" s="1"/>
  <c r="K285" i="7" s="1"/>
  <c r="H293" i="7"/>
  <c r="J293" i="7" s="1"/>
  <c r="K293" i="7" s="1"/>
  <c r="J493" i="5"/>
  <c r="J485" i="5"/>
  <c r="J477" i="5"/>
  <c r="J469" i="5"/>
  <c r="J3" i="5"/>
  <c r="J500" i="5"/>
  <c r="J484" i="5"/>
  <c r="J476" i="5"/>
  <c r="J468" i="5"/>
  <c r="J452" i="5"/>
  <c r="J420" i="5"/>
  <c r="J412" i="5"/>
  <c r="J388" i="5"/>
  <c r="J380" i="5"/>
  <c r="J356" i="5"/>
  <c r="J348" i="5"/>
  <c r="J324" i="5"/>
  <c r="J316" i="5"/>
  <c r="J284" i="5"/>
  <c r="J204" i="5"/>
  <c r="J188" i="5"/>
  <c r="J180" i="5"/>
  <c r="J172" i="5"/>
  <c r="J156" i="5"/>
  <c r="J148" i="5"/>
  <c r="J124" i="5"/>
  <c r="J116" i="5"/>
  <c r="J108" i="5"/>
  <c r="J100" i="5"/>
  <c r="J92" i="5"/>
  <c r="J84" i="5"/>
  <c r="J76" i="5"/>
  <c r="J68" i="5"/>
  <c r="J52" i="5"/>
  <c r="J44" i="5"/>
  <c r="J28" i="5"/>
  <c r="J20" i="5"/>
  <c r="J12" i="5"/>
  <c r="J491" i="5"/>
  <c r="J483" i="5"/>
  <c r="J475" i="5"/>
  <c r="J467" i="5"/>
  <c r="J291" i="5"/>
  <c r="J267" i="5"/>
  <c r="J259" i="5"/>
  <c r="J251" i="5"/>
  <c r="J235" i="5"/>
  <c r="J227" i="5"/>
  <c r="J219" i="5"/>
  <c r="J195" i="5"/>
  <c r="J187" i="5"/>
  <c r="J179" i="5"/>
  <c r="J171" i="5"/>
  <c r="J163" i="5"/>
  <c r="J155" i="5"/>
  <c r="J147" i="5"/>
  <c r="J139" i="5"/>
  <c r="J131" i="5"/>
  <c r="J123" i="5"/>
  <c r="J59" i="5"/>
  <c r="J51" i="5"/>
  <c r="J43" i="5"/>
  <c r="J35" i="5"/>
  <c r="J482" i="5"/>
  <c r="J474" i="5"/>
  <c r="J466" i="5"/>
  <c r="J458" i="5"/>
  <c r="J450" i="5"/>
  <c r="J434" i="5"/>
  <c r="J426" i="5"/>
  <c r="J418" i="5"/>
  <c r="J410" i="5"/>
  <c r="J402" i="5"/>
  <c r="J386" i="5"/>
  <c r="J370" i="5"/>
  <c r="J362" i="5"/>
  <c r="J354" i="5"/>
  <c r="J330" i="5"/>
  <c r="J322" i="5"/>
  <c r="J306" i="5"/>
  <c r="J290" i="5"/>
  <c r="J497" i="5"/>
  <c r="J473" i="5"/>
  <c r="J465" i="5"/>
  <c r="J7" i="5"/>
  <c r="J496" i="5"/>
  <c r="J488" i="5"/>
  <c r="J432" i="5"/>
  <c r="J424" i="5"/>
  <c r="J400" i="5"/>
  <c r="J392" i="5"/>
  <c r="J384" i="5"/>
  <c r="J376" i="5"/>
  <c r="J368" i="5"/>
  <c r="J352" i="5"/>
  <c r="J336" i="5"/>
  <c r="J328" i="5"/>
  <c r="J304" i="5"/>
  <c r="J296" i="5"/>
  <c r="J288" i="5"/>
  <c r="J176" i="5"/>
  <c r="J168" i="5"/>
  <c r="J160" i="5"/>
  <c r="J152" i="5"/>
  <c r="J144" i="5"/>
  <c r="J136" i="5"/>
  <c r="J495" i="5"/>
  <c r="J487" i="5"/>
  <c r="J479" i="5"/>
  <c r="J471" i="5"/>
  <c r="J455" i="5"/>
  <c r="J423" i="5"/>
  <c r="J415" i="5"/>
  <c r="J407" i="5"/>
  <c r="J399" i="5"/>
  <c r="J391" i="5"/>
  <c r="J383" i="5"/>
  <c r="J375" i="5"/>
  <c r="J367" i="5"/>
  <c r="J359" i="5"/>
  <c r="J351" i="5"/>
  <c r="J343" i="5"/>
  <c r="J335" i="5"/>
  <c r="J327" i="5"/>
  <c r="J319" i="5"/>
  <c r="J311" i="5"/>
  <c r="J303" i="5"/>
  <c r="J279" i="5"/>
  <c r="J271" i="5"/>
  <c r="J263" i="5"/>
  <c r="J239" i="5"/>
  <c r="J231" i="5"/>
  <c r="J223" i="5"/>
  <c r="J215" i="5"/>
  <c r="J207" i="5"/>
  <c r="J199" i="5"/>
  <c r="J167" i="5"/>
  <c r="J159" i="5"/>
  <c r="J143" i="5"/>
  <c r="J127" i="5"/>
  <c r="J95" i="5"/>
  <c r="J87" i="5"/>
  <c r="J79" i="5"/>
  <c r="J71" i="5"/>
  <c r="J63" i="5"/>
  <c r="J55" i="5"/>
  <c r="J47" i="5"/>
  <c r="J39" i="5"/>
  <c r="J31" i="5"/>
  <c r="J15" i="5"/>
  <c r="J4" i="5"/>
  <c r="J494" i="5"/>
  <c r="J478" i="5"/>
  <c r="J470" i="5"/>
  <c r="J462" i="5"/>
  <c r="J454" i="5"/>
  <c r="J446" i="5"/>
  <c r="J438" i="5"/>
  <c r="J414" i="5"/>
  <c r="J406" i="5"/>
  <c r="J398" i="5"/>
  <c r="J390" i="5"/>
  <c r="J382" i="5"/>
  <c r="J374" i="5"/>
  <c r="J366" i="5"/>
  <c r="J358" i="5"/>
  <c r="J350" i="5"/>
  <c r="J342" i="5"/>
  <c r="J334" i="5"/>
  <c r="J326" i="5"/>
  <c r="J318" i="5"/>
  <c r="J310" i="5"/>
  <c r="J294" i="5"/>
  <c r="J173" i="7"/>
  <c r="K173" i="7" s="1"/>
  <c r="J141" i="7"/>
  <c r="K141" i="7" s="1"/>
  <c r="J212" i="7"/>
  <c r="K212" i="7" s="1"/>
  <c r="J166" i="7"/>
  <c r="K166" i="7" s="1"/>
  <c r="J101" i="7"/>
  <c r="K101" i="7" s="1"/>
  <c r="K25" i="5"/>
  <c r="K37" i="5"/>
  <c r="K57" i="5"/>
  <c r="K77" i="5"/>
  <c r="K97" i="5"/>
  <c r="K161" i="5"/>
  <c r="K181" i="5"/>
  <c r="K229" i="5"/>
  <c r="K265" i="5"/>
  <c r="K269" i="5"/>
  <c r="K293" i="5"/>
  <c r="K297" i="5"/>
  <c r="K325" i="5"/>
  <c r="K341" i="5"/>
  <c r="K357" i="5"/>
  <c r="K373" i="5"/>
  <c r="K389" i="5"/>
  <c r="K405" i="5"/>
  <c r="K421" i="5"/>
  <c r="K429" i="5"/>
  <c r="K437" i="5"/>
  <c r="K445" i="5"/>
  <c r="K449" i="5"/>
  <c r="K453" i="5"/>
  <c r="K461" i="5"/>
  <c r="K49" i="5"/>
  <c r="K69" i="5"/>
  <c r="K85" i="5"/>
  <c r="K101" i="5"/>
  <c r="K117" i="5"/>
  <c r="K217" i="5"/>
  <c r="K253" i="5"/>
  <c r="K53" i="5"/>
  <c r="K89" i="5"/>
  <c r="K173" i="5"/>
  <c r="K189" i="5"/>
  <c r="K213" i="5"/>
  <c r="K237" i="5"/>
  <c r="K34" i="5"/>
  <c r="K74" i="5"/>
  <c r="K90" i="5"/>
  <c r="K106" i="5"/>
  <c r="K154" i="5"/>
  <c r="K9" i="5"/>
  <c r="K33" i="5"/>
  <c r="K65" i="5"/>
  <c r="K113" i="5"/>
  <c r="K169" i="5"/>
  <c r="K249" i="5"/>
  <c r="K6" i="5"/>
  <c r="K22" i="5"/>
  <c r="K114" i="5"/>
  <c r="K146" i="5"/>
  <c r="K170" i="5"/>
  <c r="K41" i="5"/>
  <c r="K61" i="5"/>
  <c r="K81" i="5"/>
  <c r="K105" i="5"/>
  <c r="K141" i="5"/>
  <c r="K165" i="5"/>
  <c r="K177" i="5"/>
  <c r="K197" i="5"/>
  <c r="K241" i="5"/>
  <c r="K261" i="5"/>
  <c r="K281" i="5"/>
  <c r="K2" i="5"/>
  <c r="K26" i="5"/>
  <c r="K38" i="5"/>
  <c r="K82" i="5"/>
  <c r="K130" i="5"/>
  <c r="K138" i="5"/>
  <c r="K45" i="5"/>
  <c r="K73" i="5"/>
  <c r="K205" i="5"/>
  <c r="K221" i="5"/>
  <c r="K245" i="5"/>
  <c r="K14" i="5"/>
  <c r="K30" i="5"/>
  <c r="K42" i="5"/>
  <c r="K50" i="5"/>
  <c r="K66" i="5"/>
  <c r="J158" i="7"/>
  <c r="K158" i="7" s="1"/>
  <c r="J270" i="7"/>
  <c r="K270" i="7" s="1"/>
  <c r="J278" i="7"/>
  <c r="K278" i="7" s="1"/>
  <c r="J219" i="7"/>
  <c r="K219" i="7" s="1"/>
  <c r="H4" i="7"/>
  <c r="J4" i="7" s="1"/>
  <c r="K4" i="7" s="1"/>
  <c r="K312" i="5"/>
  <c r="H6" i="7"/>
  <c r="J6" i="7" s="1"/>
  <c r="K6" i="7" s="1"/>
  <c r="K80" i="5"/>
  <c r="K96" i="5"/>
  <c r="K93" i="5"/>
  <c r="K255" i="5"/>
  <c r="K151" i="5"/>
  <c r="K408" i="5"/>
  <c r="K72" i="5"/>
  <c r="K486" i="5"/>
  <c r="K103" i="5"/>
  <c r="K119" i="5"/>
  <c r="K125" i="5"/>
  <c r="K58" i="5"/>
  <c r="K243" i="5"/>
  <c r="K132" i="5"/>
  <c r="K193" i="5"/>
  <c r="K10" i="5"/>
  <c r="K211" i="5"/>
  <c r="K233" i="5"/>
  <c r="K360" i="5"/>
  <c r="K29" i="5"/>
  <c r="K275" i="5"/>
  <c r="K422" i="5"/>
  <c r="K128" i="5"/>
  <c r="K344" i="5"/>
  <c r="K183" i="5"/>
  <c r="K201" i="5"/>
  <c r="K320" i="5"/>
  <c r="K481" i="5"/>
  <c r="K17" i="5"/>
  <c r="K60" i="5"/>
  <c r="K88" i="5"/>
  <c r="K111" i="5"/>
  <c r="K133" i="5"/>
  <c r="K162" i="5"/>
  <c r="K427" i="5"/>
  <c r="K430" i="5"/>
  <c r="K64" i="5"/>
  <c r="K112" i="5"/>
  <c r="K149" i="5"/>
  <c r="K191" i="5"/>
  <c r="K247" i="5"/>
  <c r="K48" i="5"/>
  <c r="K5" i="5"/>
  <c r="K395" i="5"/>
  <c r="K416" i="5"/>
  <c r="K444" i="5"/>
  <c r="K339" i="5"/>
  <c r="K378" i="5"/>
  <c r="K23" i="5"/>
  <c r="K13" i="5"/>
  <c r="K122" i="5"/>
  <c r="K153" i="5"/>
  <c r="K157" i="5"/>
  <c r="K203" i="5"/>
  <c r="K225" i="5"/>
  <c r="K283" i="5"/>
  <c r="K300" i="5"/>
  <c r="K363" i="5"/>
  <c r="K431" i="5"/>
  <c r="K21" i="5"/>
  <c r="K346" i="5"/>
  <c r="K36" i="5"/>
  <c r="K40" i="5"/>
  <c r="K104" i="5"/>
  <c r="K120" i="5"/>
  <c r="K185" i="5"/>
  <c r="K209" i="5"/>
  <c r="K273" i="5"/>
  <c r="K331" i="5"/>
  <c r="K24" i="5"/>
  <c r="K287" i="5"/>
  <c r="K289" i="5"/>
  <c r="K314" i="5"/>
  <c r="K394" i="5"/>
  <c r="K403" i="5"/>
  <c r="K460" i="5"/>
  <c r="K56" i="5"/>
  <c r="K109" i="5"/>
  <c r="K140" i="5"/>
  <c r="K257" i="5"/>
  <c r="K277" i="5"/>
  <c r="K302" i="5"/>
  <c r="K338" i="5"/>
  <c r="K98" i="5"/>
  <c r="K135" i="5"/>
  <c r="K164" i="5"/>
  <c r="K175" i="5"/>
  <c r="K371" i="5"/>
  <c r="K457" i="5"/>
  <c r="K435" i="5"/>
  <c r="K440" i="5"/>
  <c r="K463" i="5"/>
  <c r="K490" i="5"/>
  <c r="K436" i="5"/>
  <c r="K499" i="5"/>
  <c r="K448" i="5"/>
  <c r="K174" i="5"/>
  <c r="K220" i="5"/>
  <c r="K19" i="5"/>
  <c r="K70" i="5"/>
  <c r="K78" i="5"/>
  <c r="K86" i="5"/>
  <c r="K94" i="5"/>
  <c r="K102" i="5"/>
  <c r="K110" i="5"/>
  <c r="K118" i="5"/>
  <c r="K129" i="5"/>
  <c r="K150" i="5"/>
  <c r="K200" i="5"/>
  <c r="K236" i="5"/>
  <c r="K16" i="5"/>
  <c r="K121" i="5"/>
  <c r="K142" i="5"/>
  <c r="K166" i="5"/>
  <c r="K198" i="5"/>
  <c r="K268" i="5"/>
  <c r="K252" i="5"/>
  <c r="K46" i="5"/>
  <c r="K349" i="5"/>
  <c r="K11" i="5"/>
  <c r="K18" i="5"/>
  <c r="K32" i="5"/>
  <c r="K54" i="5"/>
  <c r="K67" i="5"/>
  <c r="K75" i="5"/>
  <c r="K83" i="5"/>
  <c r="K91" i="5"/>
  <c r="K99" i="5"/>
  <c r="K107" i="5"/>
  <c r="K115" i="5"/>
  <c r="K134" i="5"/>
  <c r="K145" i="5"/>
  <c r="K196" i="5"/>
  <c r="K8" i="5"/>
  <c r="K27" i="5"/>
  <c r="K158" i="5"/>
  <c r="K62" i="5"/>
  <c r="K126" i="5"/>
  <c r="K137" i="5"/>
  <c r="K194" i="5"/>
  <c r="K208" i="5"/>
  <c r="K224" i="5"/>
  <c r="K240" i="5"/>
  <c r="K256" i="5"/>
  <c r="K272" i="5"/>
  <c r="K309" i="5"/>
  <c r="K364" i="5"/>
  <c r="K377" i="5"/>
  <c r="K206" i="5"/>
  <c r="K222" i="5"/>
  <c r="K238" i="5"/>
  <c r="K254" i="5"/>
  <c r="K270" i="5"/>
  <c r="K317" i="5"/>
  <c r="K396" i="5"/>
  <c r="K409" i="5"/>
  <c r="K428" i="5"/>
  <c r="K190" i="5"/>
  <c r="K192" i="5"/>
  <c r="K202" i="5"/>
  <c r="K218" i="5"/>
  <c r="K234" i="5"/>
  <c r="K250" i="5"/>
  <c r="K266" i="5"/>
  <c r="K280" i="5"/>
  <c r="K381" i="5"/>
  <c r="K413" i="5"/>
  <c r="K182" i="5"/>
  <c r="K184" i="5"/>
  <c r="K216" i="5"/>
  <c r="K232" i="5"/>
  <c r="K248" i="5"/>
  <c r="K264" i="5"/>
  <c r="K278" i="5"/>
  <c r="K285" i="5"/>
  <c r="K292" i="5"/>
  <c r="K307" i="5"/>
  <c r="K315" i="5"/>
  <c r="K186" i="5"/>
  <c r="K214" i="5"/>
  <c r="K230" i="5"/>
  <c r="K246" i="5"/>
  <c r="K262" i="5"/>
  <c r="K276" i="5"/>
  <c r="K295" i="5"/>
  <c r="K298" i="5"/>
  <c r="K305" i="5"/>
  <c r="K347" i="5"/>
  <c r="K178" i="5"/>
  <c r="K212" i="5"/>
  <c r="K228" i="5"/>
  <c r="K244" i="5"/>
  <c r="K260" i="5"/>
  <c r="K313" i="5"/>
  <c r="K379" i="5"/>
  <c r="K411" i="5"/>
  <c r="K210" i="5"/>
  <c r="K226" i="5"/>
  <c r="K242" i="5"/>
  <c r="K258" i="5"/>
  <c r="K332" i="5"/>
  <c r="K345" i="5"/>
  <c r="K337" i="5"/>
  <c r="K369" i="5"/>
  <c r="K401" i="5"/>
  <c r="K433" i="5"/>
  <c r="K451" i="5"/>
  <c r="K274" i="5"/>
  <c r="K282" i="5"/>
  <c r="K301" i="5"/>
  <c r="K333" i="5"/>
  <c r="K365" i="5"/>
  <c r="K397" i="5"/>
  <c r="K286" i="5"/>
  <c r="K442" i="5"/>
  <c r="K447" i="5"/>
  <c r="K321" i="5"/>
  <c r="K353" i="5"/>
  <c r="K385" i="5"/>
  <c r="K417" i="5"/>
  <c r="K308" i="5"/>
  <c r="K323" i="5"/>
  <c r="K329" i="5"/>
  <c r="K340" i="5"/>
  <c r="K355" i="5"/>
  <c r="K361" i="5"/>
  <c r="K372" i="5"/>
  <c r="K387" i="5"/>
  <c r="K393" i="5"/>
  <c r="K404" i="5"/>
  <c r="K419" i="5"/>
  <c r="K425" i="5"/>
  <c r="K441" i="5"/>
  <c r="K443" i="5"/>
  <c r="K299" i="5"/>
  <c r="K439" i="5"/>
  <c r="K459" i="5"/>
  <c r="I96" i="7"/>
  <c r="H96" i="7"/>
  <c r="H115" i="7"/>
  <c r="I115" i="7"/>
  <c r="K456" i="5"/>
  <c r="K464" i="5"/>
  <c r="K472" i="5"/>
  <c r="K480" i="5"/>
  <c r="H8" i="7"/>
  <c r="I8" i="7"/>
  <c r="H40" i="7"/>
  <c r="I40" i="7"/>
  <c r="H72" i="7"/>
  <c r="I72" i="7"/>
  <c r="I120" i="7"/>
  <c r="H120" i="7"/>
  <c r="K489" i="5"/>
  <c r="J52" i="7"/>
  <c r="K52" i="7" s="1"/>
  <c r="J78" i="7"/>
  <c r="K78" i="7" s="1"/>
  <c r="J84" i="7"/>
  <c r="K84" i="7" s="1"/>
  <c r="H99" i="7"/>
  <c r="I99" i="7"/>
  <c r="I128" i="7"/>
  <c r="H128" i="7"/>
  <c r="H16" i="7"/>
  <c r="I16" i="7"/>
  <c r="H48" i="7"/>
  <c r="I48" i="7"/>
  <c r="H80" i="7"/>
  <c r="I80" i="7"/>
  <c r="I104" i="7"/>
  <c r="H104" i="7"/>
  <c r="H123" i="7"/>
  <c r="I123" i="7"/>
  <c r="H131" i="7"/>
  <c r="I131" i="7"/>
  <c r="K498" i="5"/>
  <c r="H24" i="7"/>
  <c r="I24" i="7"/>
  <c r="H56" i="7"/>
  <c r="I56" i="7"/>
  <c r="I88" i="7"/>
  <c r="H88" i="7"/>
  <c r="H107" i="7"/>
  <c r="I107" i="7"/>
  <c r="I112" i="7"/>
  <c r="H112" i="7"/>
  <c r="I146" i="7"/>
  <c r="H146" i="7"/>
  <c r="K492" i="5"/>
  <c r="H32" i="7"/>
  <c r="I32" i="7"/>
  <c r="H64" i="7"/>
  <c r="I64" i="7"/>
  <c r="H91" i="7"/>
  <c r="I91" i="7"/>
  <c r="H144" i="7"/>
  <c r="I144" i="7"/>
  <c r="I183" i="7"/>
  <c r="H183" i="7"/>
  <c r="H210" i="7"/>
  <c r="I210" i="7"/>
  <c r="I255" i="7"/>
  <c r="H255" i="7"/>
  <c r="I2" i="7"/>
  <c r="I10" i="7"/>
  <c r="I18" i="7"/>
  <c r="I26" i="7"/>
  <c r="I34" i="7"/>
  <c r="I42" i="7"/>
  <c r="I50" i="7"/>
  <c r="I58" i="7"/>
  <c r="I66" i="7"/>
  <c r="I74" i="7"/>
  <c r="I82" i="7"/>
  <c r="H152" i="7"/>
  <c r="I152" i="7"/>
  <c r="I163" i="7"/>
  <c r="H208" i="7"/>
  <c r="I208" i="7"/>
  <c r="I215" i="7"/>
  <c r="H215" i="7"/>
  <c r="H234" i="7"/>
  <c r="I234" i="7"/>
  <c r="H282" i="7"/>
  <c r="I282" i="7"/>
  <c r="I9" i="7"/>
  <c r="I17" i="7"/>
  <c r="I25" i="7"/>
  <c r="I33" i="7"/>
  <c r="I41" i="7"/>
  <c r="I49" i="7"/>
  <c r="I57" i="7"/>
  <c r="J57" i="7" s="1"/>
  <c r="K57" i="7" s="1"/>
  <c r="I65" i="7"/>
  <c r="I73" i="7"/>
  <c r="I81" i="7"/>
  <c r="H160" i="7"/>
  <c r="I160" i="7"/>
  <c r="I171" i="7"/>
  <c r="I187" i="7"/>
  <c r="H192" i="7"/>
  <c r="I192" i="7"/>
  <c r="H194" i="7"/>
  <c r="I194" i="7"/>
  <c r="I239" i="7"/>
  <c r="H239" i="7"/>
  <c r="H258" i="7"/>
  <c r="I258" i="7"/>
  <c r="I263" i="7"/>
  <c r="H263" i="7"/>
  <c r="I287" i="7"/>
  <c r="H287" i="7"/>
  <c r="I143" i="7"/>
  <c r="H143" i="7"/>
  <c r="H168" i="7"/>
  <c r="I168" i="7"/>
  <c r="I179" i="7"/>
  <c r="I199" i="7"/>
  <c r="H199" i="7"/>
  <c r="H218" i="7"/>
  <c r="I218" i="7"/>
  <c r="I151" i="7"/>
  <c r="H151" i="7"/>
  <c r="H176" i="7"/>
  <c r="I176" i="7"/>
  <c r="H184" i="7"/>
  <c r="I184" i="7"/>
  <c r="H186" i="7"/>
  <c r="I186" i="7"/>
  <c r="H216" i="7"/>
  <c r="I216" i="7"/>
  <c r="I223" i="7"/>
  <c r="H223" i="7"/>
  <c r="H242" i="7"/>
  <c r="I242" i="7"/>
  <c r="H266" i="7"/>
  <c r="I266" i="7"/>
  <c r="I271" i="7"/>
  <c r="H271" i="7"/>
  <c r="H290" i="7"/>
  <c r="I290" i="7"/>
  <c r="H297" i="7"/>
  <c r="I297" i="7"/>
  <c r="J98" i="7"/>
  <c r="K98" i="7" s="1"/>
  <c r="I159" i="7"/>
  <c r="H159" i="7"/>
  <c r="H162" i="7"/>
  <c r="J162" i="7" s="1"/>
  <c r="K162" i="7" s="1"/>
  <c r="H202" i="7"/>
  <c r="I202" i="7"/>
  <c r="I247" i="7"/>
  <c r="H247" i="7"/>
  <c r="H89" i="7"/>
  <c r="I89" i="7"/>
  <c r="H97" i="7"/>
  <c r="I97" i="7"/>
  <c r="H105" i="7"/>
  <c r="I105" i="7"/>
  <c r="H113" i="7"/>
  <c r="I113" i="7"/>
  <c r="H121" i="7"/>
  <c r="I121" i="7"/>
  <c r="H129" i="7"/>
  <c r="I129" i="7"/>
  <c r="I167" i="7"/>
  <c r="H167" i="7"/>
  <c r="H200" i="7"/>
  <c r="I200" i="7"/>
  <c r="I207" i="7"/>
  <c r="H207" i="7"/>
  <c r="H226" i="7"/>
  <c r="I226" i="7"/>
  <c r="H274" i="7"/>
  <c r="I274" i="7"/>
  <c r="H136" i="7"/>
  <c r="I136" i="7"/>
  <c r="I147" i="7"/>
  <c r="I175" i="7"/>
  <c r="H175" i="7"/>
  <c r="H178" i="7"/>
  <c r="J178" i="7" s="1"/>
  <c r="K178" i="7" s="1"/>
  <c r="I191" i="7"/>
  <c r="H191" i="7"/>
  <c r="H224" i="7"/>
  <c r="I224" i="7"/>
  <c r="I231" i="7"/>
  <c r="H231" i="7"/>
  <c r="H250" i="7"/>
  <c r="I250" i="7"/>
  <c r="I279" i="7"/>
  <c r="H279" i="7"/>
  <c r="H296" i="7"/>
  <c r="I296" i="7"/>
  <c r="J281" i="7"/>
  <c r="K281" i="7" s="1"/>
  <c r="I299" i="7"/>
  <c r="H232" i="7"/>
  <c r="I232" i="7"/>
  <c r="H240" i="7"/>
  <c r="I240" i="7"/>
  <c r="H248" i="7"/>
  <c r="I248" i="7"/>
  <c r="H256" i="7"/>
  <c r="I256" i="7"/>
  <c r="H264" i="7"/>
  <c r="I264" i="7"/>
  <c r="H272" i="7"/>
  <c r="I272" i="7"/>
  <c r="H280" i="7"/>
  <c r="I280" i="7"/>
  <c r="H288" i="7"/>
  <c r="I288" i="7"/>
  <c r="J74" i="7" l="1"/>
  <c r="K74" i="7" s="1"/>
  <c r="J17" i="7"/>
  <c r="K17" i="7" s="1"/>
  <c r="J50" i="7"/>
  <c r="K50" i="7" s="1"/>
  <c r="J42" i="7"/>
  <c r="K42" i="7" s="1"/>
  <c r="J147" i="7"/>
  <c r="K147" i="7" s="1"/>
  <c r="J299" i="7"/>
  <c r="K299" i="7" s="1"/>
  <c r="J10" i="7"/>
  <c r="K10" i="7" s="1"/>
  <c r="J26" i="7"/>
  <c r="K26" i="7" s="1"/>
  <c r="J25" i="7"/>
  <c r="K25" i="7" s="1"/>
  <c r="J82" i="7"/>
  <c r="K82" i="7" s="1"/>
  <c r="J18" i="7"/>
  <c r="K18" i="7" s="1"/>
  <c r="J9" i="7"/>
  <c r="K9" i="7" s="1"/>
  <c r="J81" i="7"/>
  <c r="K81" i="7" s="1"/>
  <c r="J2" i="7"/>
  <c r="K2" i="7" s="1"/>
  <c r="J73" i="7"/>
  <c r="K73" i="7" s="1"/>
  <c r="J66" i="7"/>
  <c r="K66" i="7" s="1"/>
  <c r="J58" i="7"/>
  <c r="K58" i="7" s="1"/>
  <c r="J49" i="7"/>
  <c r="K49" i="7" s="1"/>
  <c r="J41" i="7"/>
  <c r="K41" i="7" s="1"/>
  <c r="J163" i="7"/>
  <c r="K163" i="7" s="1"/>
  <c r="J179" i="7"/>
  <c r="K179" i="7" s="1"/>
  <c r="J65" i="7"/>
  <c r="K65" i="7" s="1"/>
  <c r="J187" i="7"/>
  <c r="K187" i="7" s="1"/>
  <c r="J171" i="7"/>
  <c r="K171" i="7" s="1"/>
  <c r="J33" i="7"/>
  <c r="K33" i="7" s="1"/>
  <c r="J34" i="7"/>
  <c r="K34" i="7" s="1"/>
  <c r="J80" i="7"/>
  <c r="K80" i="7" s="1"/>
  <c r="J160" i="7"/>
  <c r="K160" i="7" s="1"/>
  <c r="J234" i="7"/>
  <c r="K234" i="7" s="1"/>
  <c r="J210" i="7"/>
  <c r="K210" i="7" s="1"/>
  <c r="J280" i="7"/>
  <c r="K280" i="7" s="1"/>
  <c r="J248" i="7"/>
  <c r="K248" i="7" s="1"/>
  <c r="J168" i="7"/>
  <c r="K168" i="7" s="1"/>
  <c r="J272" i="7"/>
  <c r="K272" i="7" s="1"/>
  <c r="J121" i="7"/>
  <c r="K121" i="7" s="1"/>
  <c r="J89" i="7"/>
  <c r="K89" i="7" s="1"/>
  <c r="J186" i="7"/>
  <c r="K186" i="7" s="1"/>
  <c r="J123" i="7"/>
  <c r="K123" i="7" s="1"/>
  <c r="J16" i="7"/>
  <c r="K16" i="7" s="1"/>
  <c r="J264" i="7"/>
  <c r="K264" i="7" s="1"/>
  <c r="J146" i="7"/>
  <c r="K146" i="7" s="1"/>
  <c r="J136" i="7"/>
  <c r="K136" i="7" s="1"/>
  <c r="J200" i="7"/>
  <c r="K200" i="7" s="1"/>
  <c r="J242" i="7"/>
  <c r="K242" i="7" s="1"/>
  <c r="J64" i="7"/>
  <c r="K64" i="7" s="1"/>
  <c r="J24" i="7"/>
  <c r="K24" i="7" s="1"/>
  <c r="J274" i="7"/>
  <c r="K274" i="7" s="1"/>
  <c r="J290" i="7"/>
  <c r="K290" i="7" s="1"/>
  <c r="J176" i="7"/>
  <c r="K176" i="7" s="1"/>
  <c r="J194" i="7"/>
  <c r="K194" i="7" s="1"/>
  <c r="J202" i="7"/>
  <c r="K202" i="7" s="1"/>
  <c r="J107" i="7"/>
  <c r="K107" i="7" s="1"/>
  <c r="J40" i="7"/>
  <c r="K40" i="7" s="1"/>
  <c r="J115" i="7"/>
  <c r="K115" i="7" s="1"/>
  <c r="J226" i="7"/>
  <c r="K226" i="7" s="1"/>
  <c r="J282" i="7"/>
  <c r="K282" i="7" s="1"/>
  <c r="J131" i="7"/>
  <c r="K131" i="7" s="1"/>
  <c r="J199" i="7"/>
  <c r="K199" i="7" s="1"/>
  <c r="J287" i="7"/>
  <c r="K287" i="7" s="1"/>
  <c r="J91" i="7"/>
  <c r="K91" i="7" s="1"/>
  <c r="J183" i="7"/>
  <c r="K183" i="7" s="1"/>
  <c r="J192" i="7"/>
  <c r="K192" i="7" s="1"/>
  <c r="J191" i="7"/>
  <c r="K191" i="7" s="1"/>
  <c r="J112" i="7"/>
  <c r="K112" i="7" s="1"/>
  <c r="J113" i="7"/>
  <c r="K113" i="7" s="1"/>
  <c r="J105" i="7"/>
  <c r="K105" i="7" s="1"/>
  <c r="J218" i="7"/>
  <c r="K218" i="7" s="1"/>
  <c r="J240" i="7"/>
  <c r="K240" i="7" s="1"/>
  <c r="J250" i="7"/>
  <c r="K250" i="7" s="1"/>
  <c r="J224" i="7"/>
  <c r="K224" i="7" s="1"/>
  <c r="J207" i="7"/>
  <c r="K207" i="7" s="1"/>
  <c r="J129" i="7"/>
  <c r="K129" i="7" s="1"/>
  <c r="J97" i="7"/>
  <c r="K97" i="7" s="1"/>
  <c r="J56" i="7"/>
  <c r="K56" i="7" s="1"/>
  <c r="J296" i="7"/>
  <c r="K296" i="7" s="1"/>
  <c r="J208" i="7"/>
  <c r="K208" i="7" s="1"/>
  <c r="J48" i="7"/>
  <c r="K48" i="7" s="1"/>
  <c r="J263" i="7"/>
  <c r="K263" i="7" s="1"/>
  <c r="J32" i="7"/>
  <c r="K32" i="7" s="1"/>
  <c r="J99" i="7"/>
  <c r="K99" i="7" s="1"/>
  <c r="J216" i="7"/>
  <c r="K216" i="7" s="1"/>
  <c r="J8" i="7"/>
  <c r="K8" i="7" s="1"/>
  <c r="J288" i="7"/>
  <c r="K288" i="7" s="1"/>
  <c r="J256" i="7"/>
  <c r="K256" i="7" s="1"/>
  <c r="J247" i="7"/>
  <c r="K247" i="7" s="1"/>
  <c r="J266" i="7"/>
  <c r="K266" i="7" s="1"/>
  <c r="J144" i="7"/>
  <c r="K144" i="7" s="1"/>
  <c r="J104" i="7"/>
  <c r="K104" i="7" s="1"/>
  <c r="J72" i="7"/>
  <c r="K72" i="7" s="1"/>
  <c r="J232" i="7"/>
  <c r="K232" i="7" s="1"/>
  <c r="J167" i="7"/>
  <c r="K167" i="7" s="1"/>
  <c r="J297" i="7"/>
  <c r="K297" i="7" s="1"/>
  <c r="J184" i="7"/>
  <c r="K184" i="7" s="1"/>
  <c r="J143" i="7"/>
  <c r="K143" i="7" s="1"/>
  <c r="J258" i="7"/>
  <c r="K258" i="7" s="1"/>
  <c r="J223" i="7"/>
  <c r="K223" i="7" s="1"/>
  <c r="J239" i="7"/>
  <c r="K239" i="7" s="1"/>
  <c r="J215" i="7"/>
  <c r="K215" i="7" s="1"/>
  <c r="J152" i="7"/>
  <c r="K152" i="7" s="1"/>
  <c r="J88" i="7"/>
  <c r="K88" i="7" s="1"/>
  <c r="J128" i="7"/>
  <c r="K128" i="7" s="1"/>
  <c r="J120" i="7"/>
  <c r="K120" i="7" s="1"/>
  <c r="J231" i="7"/>
  <c r="K231" i="7" s="1"/>
  <c r="J175" i="7"/>
  <c r="K175" i="7" s="1"/>
  <c r="J271" i="7"/>
  <c r="K271" i="7" s="1"/>
  <c r="J255" i="7"/>
  <c r="K255" i="7" s="1"/>
  <c r="J96" i="7"/>
  <c r="K96" i="7" s="1"/>
  <c r="J279" i="7"/>
  <c r="K279" i="7" s="1"/>
  <c r="J159" i="7"/>
  <c r="K159" i="7" s="1"/>
  <c r="J151" i="7"/>
  <c r="K151" i="7" s="1"/>
</calcChain>
</file>

<file path=xl/sharedStrings.xml><?xml version="1.0" encoding="utf-8"?>
<sst xmlns="http://schemas.openxmlformats.org/spreadsheetml/2006/main" count="172" uniqueCount="113">
  <si>
    <t>Date</t>
  </si>
  <si>
    <t>Cashier</t>
  </si>
  <si>
    <t>Customer</t>
  </si>
  <si>
    <t>Product</t>
  </si>
  <si>
    <t>Qty</t>
  </si>
  <si>
    <t>Price</t>
  </si>
  <si>
    <t>Discount</t>
  </si>
  <si>
    <t>SKU</t>
  </si>
  <si>
    <t>Name</t>
  </si>
  <si>
    <t>Category</t>
  </si>
  <si>
    <t>Brand</t>
  </si>
  <si>
    <t>Size</t>
  </si>
  <si>
    <t>Color</t>
  </si>
  <si>
    <t>Cost</t>
  </si>
  <si>
    <t>Stock</t>
  </si>
  <si>
    <t>Low Alert</t>
  </si>
  <si>
    <t>1001</t>
  </si>
  <si>
    <t>Black</t>
  </si>
  <si>
    <t>1002</t>
  </si>
  <si>
    <t>Gray</t>
  </si>
  <si>
    <t>ID</t>
  </si>
  <si>
    <t>Phone</t>
  </si>
  <si>
    <t>SupplierID</t>
  </si>
  <si>
    <t>Supplier</t>
  </si>
  <si>
    <t>Address</t>
  </si>
  <si>
    <t>Invoice</t>
  </si>
  <si>
    <t>Net</t>
  </si>
  <si>
    <t>Profit</t>
  </si>
  <si>
    <t>Opening</t>
  </si>
  <si>
    <t>Sold</t>
  </si>
  <si>
    <t>Purchased</t>
  </si>
  <si>
    <t>Status</t>
  </si>
  <si>
    <t>Invoice:</t>
  </si>
  <si>
    <t>Item      Qty     Price</t>
  </si>
  <si>
    <t>Thank You!</t>
  </si>
  <si>
    <t>NS-52</t>
  </si>
  <si>
    <t>R/S Crush</t>
  </si>
  <si>
    <t>Fancy</t>
  </si>
  <si>
    <t>1003</t>
  </si>
  <si>
    <t>1004</t>
  </si>
  <si>
    <t>1005</t>
  </si>
  <si>
    <t>PC 2PCS</t>
  </si>
  <si>
    <t>PC 3PCS</t>
  </si>
  <si>
    <t>PV 2PCS</t>
  </si>
  <si>
    <t>PV 3PCS</t>
  </si>
  <si>
    <t>1006</t>
  </si>
  <si>
    <t>SK</t>
  </si>
  <si>
    <t>IG</t>
  </si>
  <si>
    <t>CITI</t>
  </si>
  <si>
    <t>DEBAJ</t>
  </si>
  <si>
    <t>SML</t>
  </si>
  <si>
    <t>STD</t>
  </si>
  <si>
    <t>Casual</t>
  </si>
  <si>
    <t>Pink</t>
  </si>
  <si>
    <t>Cheeko</t>
  </si>
  <si>
    <t>Aqua</t>
  </si>
  <si>
    <t>Mehroon</t>
  </si>
  <si>
    <t>Barcode/Item Code</t>
  </si>
  <si>
    <t>CUS-0001</t>
  </si>
  <si>
    <t>WIC</t>
  </si>
  <si>
    <t>CONTACT</t>
  </si>
  <si>
    <t>WHATSAPP</t>
  </si>
  <si>
    <t>333-0000001</t>
  </si>
  <si>
    <t>CUS-0002</t>
  </si>
  <si>
    <t>CUS-0003</t>
  </si>
  <si>
    <t>CUS-0004</t>
  </si>
  <si>
    <t>MAJID</t>
  </si>
  <si>
    <t>FASIH</t>
  </si>
  <si>
    <t>ARSHAD</t>
  </si>
  <si>
    <t>VEND-0001</t>
  </si>
  <si>
    <t>IG GARMENTS</t>
  </si>
  <si>
    <t>IB FASHION</t>
  </si>
  <si>
    <t>VEND-0002</t>
  </si>
  <si>
    <t>VEND-0003</t>
  </si>
  <si>
    <t>KC</t>
  </si>
  <si>
    <t>INV-000001</t>
  </si>
  <si>
    <t>INV-000002</t>
  </si>
  <si>
    <t>INV-000003</t>
  </si>
  <si>
    <t>INV-000004</t>
  </si>
  <si>
    <t>INV-000005</t>
  </si>
  <si>
    <t>ISHAQ</t>
  </si>
  <si>
    <t>GUL</t>
  </si>
  <si>
    <t>VEND ID</t>
  </si>
  <si>
    <t>Item Name</t>
  </si>
  <si>
    <t>Rate</t>
  </si>
  <si>
    <t>Amount</t>
  </si>
  <si>
    <t>*** SHOP NAME ***</t>
  </si>
  <si>
    <t>Purchase Order</t>
  </si>
  <si>
    <t>PO ID</t>
  </si>
  <si>
    <t>PO-000001</t>
  </si>
  <si>
    <t>PO-000003</t>
  </si>
  <si>
    <t>PO-000002</t>
  </si>
  <si>
    <t>PO-000004</t>
  </si>
  <si>
    <t>PO Date</t>
  </si>
  <si>
    <t>VEND BILL</t>
  </si>
  <si>
    <t>BILL DATE</t>
  </si>
  <si>
    <t>PRODUCT ADD</t>
  </si>
  <si>
    <t>CUSTOMER ADD</t>
  </si>
  <si>
    <t>SUPPLIER ADD</t>
  </si>
  <si>
    <t>INVENTORY ADD</t>
  </si>
  <si>
    <t>PRODUCT FORM</t>
  </si>
  <si>
    <t>CUSTOMER FORM</t>
  </si>
  <si>
    <t>SUPPLIER FORM</t>
  </si>
  <si>
    <t>INVENTORY LESS</t>
  </si>
  <si>
    <t>Sale Order</t>
  </si>
  <si>
    <t>REPORTS</t>
  </si>
  <si>
    <t>PURCHASE REPORT FROM DATE TO DATE</t>
  </si>
  <si>
    <t>SALE REPORT FROM DATE TO DATE</t>
  </si>
  <si>
    <t>PURCHASE REPORT</t>
  </si>
  <si>
    <t>SALE REPORT</t>
  </si>
  <si>
    <t>INVENTORY REPORT</t>
  </si>
  <si>
    <t>INVENTORY SUMMARY FROM DATE TO DATE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</si>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</sst>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166" fontId="1" fillId="2" borderId="1" xfId="0" applyNumberFormat="1" applyFont="1" applyFill="1" applyBorder="1"/>
    <xf numFmtId="166" fontId="0" fillId="0" borderId="0" xfId="0" applyNumberFormat="1"/>
    <xf numFmtId="0" fontId="4" fillId="2" borderId="1" xfId="0" applyFont="1" applyFill="1" applyBorder="1"/>
    <xf numFmtId="166" fontId="4" fillId="2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4</xdr:row>
      <xdr:rowOff>66675</xdr:rowOff>
    </xdr:from>
    <xdr:to>
      <xdr:col>6</xdr:col>
      <xdr:colOff>38100</xdr:colOff>
      <xdr:row>6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3B59D3-E14F-0DC1-1EF8-CFCD91FA6071}"/>
            </a:ext>
          </a:extLst>
        </xdr:cNvPr>
        <xdr:cNvSpPr/>
      </xdr:nvSpPr>
      <xdr:spPr>
        <a:xfrm>
          <a:off x="2295525" y="828675"/>
          <a:ext cx="1400175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KHADIJA GARMENTS</a:t>
          </a:r>
        </a:p>
      </xdr:txBody>
    </xdr:sp>
    <xdr:clientData/>
  </xdr:twoCellAnchor>
  <xdr:twoCellAnchor>
    <xdr:from>
      <xdr:col>2</xdr:col>
      <xdr:colOff>214313</xdr:colOff>
      <xdr:row>9</xdr:row>
      <xdr:rowOff>66675</xdr:rowOff>
    </xdr:from>
    <xdr:to>
      <xdr:col>2</xdr:col>
      <xdr:colOff>219075</xdr:colOff>
      <xdr:row>12</xdr:row>
      <xdr:rowOff>28575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3C3B761-6C13-26B1-3C8C-60E50A35A4F6}"/>
            </a:ext>
          </a:extLst>
        </xdr:cNvPr>
        <xdr:cNvCxnSpPr/>
      </xdr:nvCxnSpPr>
      <xdr:spPr>
        <a:xfrm>
          <a:off x="1433513" y="1781175"/>
          <a:ext cx="4762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557213</xdr:colOff>
      <xdr:row>6</xdr:row>
      <xdr:rowOff>180975</xdr:rowOff>
    </xdr:from>
    <xdr:to>
      <xdr:col>4</xdr:col>
      <xdr:colOff>561975</xdr:colOff>
      <xdr:row>9</xdr:row>
      <xdr:rowOff>66675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5D64381-66F5-AB0E-8155-CACAE9F29BD2}"/>
            </a:ext>
          </a:extLst>
        </xdr:cNvPr>
        <xdr:cNvCxnSpPr>
          <a:stCxn id="2" idx="2"/>
        </xdr:cNvCxnSpPr>
      </xdr:nvCxnSpPr>
      <xdr:spPr>
        <a:xfrm>
          <a:off x="2995613" y="1323975"/>
          <a:ext cx="4762" cy="457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9</xdr:row>
      <xdr:rowOff>66675</xdr:rowOff>
    </xdr:from>
    <xdr:to>
      <xdr:col>4</xdr:col>
      <xdr:colOff>576263</xdr:colOff>
      <xdr:row>9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D4444AA-9583-4D36-992A-C1D1831D1DCF}"/>
            </a:ext>
          </a:extLst>
        </xdr:cNvPr>
        <xdr:cNvCxnSpPr/>
      </xdr:nvCxnSpPr>
      <xdr:spPr>
        <a:xfrm flipH="1">
          <a:off x="1438275" y="1781175"/>
          <a:ext cx="157638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9</xdr:row>
      <xdr:rowOff>66675</xdr:rowOff>
    </xdr:from>
    <xdr:to>
      <xdr:col>7</xdr:col>
      <xdr:colOff>319088</xdr:colOff>
      <xdr:row>9</xdr:row>
      <xdr:rowOff>66675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B79694C-5EC3-463A-B669-23198669286B}"/>
            </a:ext>
          </a:extLst>
        </xdr:cNvPr>
        <xdr:cNvCxnSpPr/>
      </xdr:nvCxnSpPr>
      <xdr:spPr>
        <a:xfrm flipH="1">
          <a:off x="3009900" y="1781175"/>
          <a:ext cx="157638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300038</xdr:colOff>
      <xdr:row>9</xdr:row>
      <xdr:rowOff>66675</xdr:rowOff>
    </xdr:from>
    <xdr:to>
      <xdr:col>7</xdr:col>
      <xdr:colOff>304800</xdr:colOff>
      <xdr:row>12</xdr:row>
      <xdr:rowOff>28575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E797A70-45FF-485B-AA35-852017DCACB1}"/>
            </a:ext>
          </a:extLst>
        </xdr:cNvPr>
        <xdr:cNvCxnSpPr/>
      </xdr:nvCxnSpPr>
      <xdr:spPr>
        <a:xfrm>
          <a:off x="4567238" y="1781175"/>
          <a:ext cx="4762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466725</xdr:colOff>
      <xdr:row>4</xdr:row>
      <xdr:rowOff>66675</xdr:rowOff>
    </xdr:from>
    <xdr:to>
      <xdr:col>3</xdr:col>
      <xdr:colOff>471487</xdr:colOff>
      <xdr:row>7</xdr:row>
      <xdr:rowOff>28575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0A477D6-43B6-4CCF-866A-DC4BC423E4FD}"/>
            </a:ext>
          </a:extLst>
        </xdr:cNvPr>
        <xdr:cNvCxnSpPr/>
      </xdr:nvCxnSpPr>
      <xdr:spPr>
        <a:xfrm>
          <a:off x="2295525" y="828675"/>
          <a:ext cx="4762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12</xdr:row>
      <xdr:rowOff>28575</xdr:rowOff>
    </xdr:from>
    <xdr:to>
      <xdr:col>3</xdr:col>
      <xdr:colOff>304800</xdr:colOff>
      <xdr:row>14</xdr:row>
      <xdr:rowOff>142875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6D50F0E-1AC4-4FEA-AB36-662C9B16328D}"/>
            </a:ext>
          </a:extLst>
        </xdr:cNvPr>
        <xdr:cNvSpPr/>
      </xdr:nvSpPr>
      <xdr:spPr>
        <a:xfrm>
          <a:off x="733425" y="2314575"/>
          <a:ext cx="1400175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MOOSA FASHION GALLERY</a:t>
          </a:r>
        </a:p>
      </xdr:txBody>
    </xdr:sp>
    <xdr:clientData/>
  </xdr:twoCellAnchor>
  <xdr:twoCellAnchor>
    <xdr:from>
      <xdr:col>6</xdr:col>
      <xdr:colOff>285750</xdr:colOff>
      <xdr:row>12</xdr:row>
      <xdr:rowOff>38100</xdr:rowOff>
    </xdr:from>
    <xdr:to>
      <xdr:col>8</xdr:col>
      <xdr:colOff>466725</xdr:colOff>
      <xdr:row>14</xdr:row>
      <xdr:rowOff>152400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F8D1F6B-73D5-4845-864C-B5FFA311EA9E}"/>
            </a:ext>
          </a:extLst>
        </xdr:cNvPr>
        <xdr:cNvSpPr/>
      </xdr:nvSpPr>
      <xdr:spPr>
        <a:xfrm>
          <a:off x="3943350" y="2324100"/>
          <a:ext cx="1400175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FAIZAN</a:t>
          </a:r>
          <a:r>
            <a:rPr lang="en-US" sz="1100" baseline="0"/>
            <a:t> BOUTIQUE</a:t>
          </a:r>
          <a:endParaRPr lang="en-US" sz="1100"/>
        </a:p>
      </xdr:txBody>
    </xdr:sp>
    <xdr:clientData/>
  </xdr:twoCellAnchor>
  <xdr:twoCellAnchor>
    <xdr:from>
      <xdr:col>12</xdr:col>
      <xdr:colOff>19050</xdr:colOff>
      <xdr:row>6</xdr:row>
      <xdr:rowOff>104775</xdr:rowOff>
    </xdr:from>
    <xdr:to>
      <xdr:col>12</xdr:col>
      <xdr:colOff>600075</xdr:colOff>
      <xdr:row>6</xdr:row>
      <xdr:rowOff>104775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5E849A3-69F5-1149-6E1E-C4928B8ADA4C}"/>
            </a:ext>
          </a:extLst>
        </xdr:cNvPr>
        <xdr:cNvCxnSpPr/>
      </xdr:nvCxnSpPr>
      <xdr:spPr>
        <a:xfrm>
          <a:off x="7858125" y="124777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95250</xdr:rowOff>
    </xdr:from>
    <xdr:to>
      <xdr:col>12</xdr:col>
      <xdr:colOff>590550</xdr:colOff>
      <xdr:row>3</xdr:row>
      <xdr:rowOff>95250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5CF9073-B821-418B-9F56-DBB086137E7E}"/>
            </a:ext>
          </a:extLst>
        </xdr:cNvPr>
        <xdr:cNvCxnSpPr/>
      </xdr:nvCxnSpPr>
      <xdr:spPr>
        <a:xfrm>
          <a:off x="7848600" y="666750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104775</xdr:rowOff>
    </xdr:from>
    <xdr:to>
      <xdr:col>12</xdr:col>
      <xdr:colOff>590550</xdr:colOff>
      <xdr:row>4</xdr:row>
      <xdr:rowOff>104775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DEF9542-8465-4A19-A09F-AF400C2A6A40}"/>
            </a:ext>
          </a:extLst>
        </xdr:cNvPr>
        <xdr:cNvCxnSpPr/>
      </xdr:nvCxnSpPr>
      <xdr:spPr>
        <a:xfrm>
          <a:off x="7848600" y="86677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104775</xdr:rowOff>
    </xdr:from>
    <xdr:to>
      <xdr:col>12</xdr:col>
      <xdr:colOff>600075</xdr:colOff>
      <xdr:row>5</xdr:row>
      <xdr:rowOff>104775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3980CF6-D1E1-4BFD-89A0-16642D8B41F7}"/>
            </a:ext>
          </a:extLst>
        </xdr:cNvPr>
        <xdr:cNvCxnSpPr/>
      </xdr:nvCxnSpPr>
      <xdr:spPr>
        <a:xfrm>
          <a:off x="7858125" y="105727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7</xdr:row>
      <xdr:rowOff>104775</xdr:rowOff>
    </xdr:from>
    <xdr:to>
      <xdr:col>12</xdr:col>
      <xdr:colOff>600075</xdr:colOff>
      <xdr:row>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15A937A-CEB1-4D2E-A6DC-D5C90E4ABDCD}"/>
            </a:ext>
          </a:extLst>
        </xdr:cNvPr>
        <xdr:cNvCxnSpPr/>
      </xdr:nvCxnSpPr>
      <xdr:spPr>
        <a:xfrm>
          <a:off x="7858125" y="143827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10</xdr:row>
      <xdr:rowOff>104775</xdr:rowOff>
    </xdr:from>
    <xdr:to>
      <xdr:col>12</xdr:col>
      <xdr:colOff>600075</xdr:colOff>
      <xdr:row>10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2D33CF0-09EE-49BC-B981-EB2E722E8BB5}"/>
            </a:ext>
          </a:extLst>
        </xdr:cNvPr>
        <xdr:cNvCxnSpPr/>
      </xdr:nvCxnSpPr>
      <xdr:spPr>
        <a:xfrm>
          <a:off x="7981950" y="200977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11</xdr:row>
      <xdr:rowOff>104775</xdr:rowOff>
    </xdr:from>
    <xdr:to>
      <xdr:col>12</xdr:col>
      <xdr:colOff>600075</xdr:colOff>
      <xdr:row>11</xdr:row>
      <xdr:rowOff>104775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5E55328D-9DAF-4530-AC43-AC31B38359BF}"/>
            </a:ext>
          </a:extLst>
        </xdr:cNvPr>
        <xdr:cNvCxnSpPr/>
      </xdr:nvCxnSpPr>
      <xdr:spPr>
        <a:xfrm>
          <a:off x="7981950" y="220027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12</xdr:row>
      <xdr:rowOff>104775</xdr:rowOff>
    </xdr:from>
    <xdr:to>
      <xdr:col>12</xdr:col>
      <xdr:colOff>609600</xdr:colOff>
      <xdr:row>12</xdr:row>
      <xdr:rowOff>104775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774C189-016F-4778-A298-230CDE5B4914}"/>
            </a:ext>
          </a:extLst>
        </xdr:cNvPr>
        <xdr:cNvCxnSpPr/>
      </xdr:nvCxnSpPr>
      <xdr:spPr>
        <a:xfrm>
          <a:off x="7991475" y="2390775"/>
          <a:ext cx="581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2EB7-96ED-41CF-A318-36CE5851567B}">
  <dimension ref="D3:N13"/>
  <sheetViews>
    <sheetView showGridLines="0" tabSelected="1" workbookViewId="0">
      <selection activeCell="J12" sqref="J12"/>
    </sheetView>
  </sheetViews>
  <sheetFormatPr defaultRowHeight="15" x14ac:dyDescent="0.25"/>
  <cols>
    <col min="12" max="12" width="18.85546875" bestFit="1" customWidth="1"/>
    <col min="13" max="13" width="11.7109375" customWidth="1"/>
  </cols>
  <sheetData>
    <row r="3" spans="4:14" x14ac:dyDescent="0.25">
      <c r="D3" s="14"/>
      <c r="E3" s="14"/>
      <c r="F3" s="14"/>
      <c r="G3" s="14"/>
    </row>
    <row r="4" spans="4:14" x14ac:dyDescent="0.25">
      <c r="D4" s="14"/>
      <c r="E4" s="14"/>
      <c r="F4" s="14"/>
      <c r="G4" s="14"/>
      <c r="L4" t="s">
        <v>96</v>
      </c>
      <c r="N4" t="s">
        <v>100</v>
      </c>
    </row>
    <row r="5" spans="4:14" x14ac:dyDescent="0.25">
      <c r="D5" s="14"/>
      <c r="E5" s="14"/>
      <c r="F5" s="14"/>
      <c r="G5" s="14"/>
      <c r="L5" t="s">
        <v>97</v>
      </c>
      <c r="N5" t="s">
        <v>101</v>
      </c>
    </row>
    <row r="6" spans="4:14" x14ac:dyDescent="0.25">
      <c r="D6" s="14"/>
      <c r="E6" s="14"/>
      <c r="F6" s="14"/>
      <c r="G6" s="14"/>
      <c r="L6" t="s">
        <v>98</v>
      </c>
      <c r="N6" t="s">
        <v>102</v>
      </c>
    </row>
    <row r="7" spans="4:14" x14ac:dyDescent="0.25">
      <c r="L7" t="s">
        <v>99</v>
      </c>
      <c r="N7" t="s">
        <v>87</v>
      </c>
    </row>
    <row r="8" spans="4:14" x14ac:dyDescent="0.25">
      <c r="L8" t="s">
        <v>103</v>
      </c>
      <c r="N8" t="s">
        <v>104</v>
      </c>
    </row>
    <row r="10" spans="4:14" x14ac:dyDescent="0.25">
      <c r="L10" s="15" t="s">
        <v>105</v>
      </c>
    </row>
    <row r="11" spans="4:14" x14ac:dyDescent="0.25">
      <c r="L11" t="s">
        <v>108</v>
      </c>
      <c r="N11" t="s">
        <v>106</v>
      </c>
    </row>
    <row r="12" spans="4:14" x14ac:dyDescent="0.25">
      <c r="L12" t="s">
        <v>109</v>
      </c>
      <c r="N12" t="s">
        <v>107</v>
      </c>
    </row>
    <row r="13" spans="4:14" x14ac:dyDescent="0.25">
      <c r="L13" t="s">
        <v>110</v>
      </c>
      <c r="N13" t="s">
        <v>111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A12" sqref="A12"/>
    </sheetView>
  </sheetViews>
  <sheetFormatPr defaultRowHeight="15" x14ac:dyDescent="0.25"/>
  <cols>
    <col min="1" max="1" width="18.7109375" bestFit="1" customWidth="1"/>
    <col min="2" max="2" width="18.85546875" customWidth="1"/>
  </cols>
  <sheetData>
    <row r="1" spans="1:10" x14ac:dyDescent="0.25">
      <c r="A1" s="1" t="s">
        <v>57</v>
      </c>
      <c r="B1" s="5" t="s">
        <v>83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</v>
      </c>
      <c r="I1" s="1" t="s">
        <v>14</v>
      </c>
      <c r="J1" s="1" t="s">
        <v>15</v>
      </c>
    </row>
    <row r="2" spans="1:10" x14ac:dyDescent="0.25">
      <c r="A2" s="2" t="s">
        <v>16</v>
      </c>
      <c r="B2" t="s">
        <v>35</v>
      </c>
      <c r="C2" t="s">
        <v>37</v>
      </c>
      <c r="D2" t="s">
        <v>47</v>
      </c>
      <c r="E2" t="s">
        <v>50</v>
      </c>
      <c r="F2" t="s">
        <v>17</v>
      </c>
      <c r="G2">
        <v>2100</v>
      </c>
      <c r="H2">
        <v>1500</v>
      </c>
      <c r="I2">
        <v>40</v>
      </c>
      <c r="J2">
        <v>6</v>
      </c>
    </row>
    <row r="3" spans="1:10" x14ac:dyDescent="0.25">
      <c r="A3" s="2" t="s">
        <v>18</v>
      </c>
      <c r="B3" t="s">
        <v>36</v>
      </c>
      <c r="C3" t="s">
        <v>37</v>
      </c>
      <c r="D3" t="s">
        <v>46</v>
      </c>
      <c r="E3" t="s">
        <v>50</v>
      </c>
      <c r="F3" t="s">
        <v>19</v>
      </c>
      <c r="G3">
        <v>2200</v>
      </c>
      <c r="H3">
        <v>2400</v>
      </c>
      <c r="I3">
        <v>20</v>
      </c>
      <c r="J3">
        <v>6</v>
      </c>
    </row>
    <row r="4" spans="1:10" x14ac:dyDescent="0.25">
      <c r="A4" s="2" t="s">
        <v>38</v>
      </c>
      <c r="B4" t="s">
        <v>41</v>
      </c>
      <c r="C4" t="s">
        <v>52</v>
      </c>
      <c r="D4" t="s">
        <v>48</v>
      </c>
      <c r="E4" t="s">
        <v>51</v>
      </c>
      <c r="F4" t="s">
        <v>53</v>
      </c>
      <c r="G4">
        <v>1100</v>
      </c>
      <c r="H4">
        <v>1500</v>
      </c>
      <c r="I4">
        <v>40</v>
      </c>
      <c r="J4">
        <v>24</v>
      </c>
    </row>
    <row r="5" spans="1:10" x14ac:dyDescent="0.25">
      <c r="A5" s="2" t="s">
        <v>39</v>
      </c>
      <c r="B5" t="s">
        <v>42</v>
      </c>
      <c r="C5" t="s">
        <v>52</v>
      </c>
      <c r="D5" t="s">
        <v>48</v>
      </c>
      <c r="E5" t="s">
        <v>51</v>
      </c>
      <c r="F5" t="s">
        <v>54</v>
      </c>
      <c r="G5">
        <v>1050</v>
      </c>
      <c r="H5">
        <v>1500</v>
      </c>
      <c r="I5">
        <v>45</v>
      </c>
      <c r="J5">
        <v>24</v>
      </c>
    </row>
    <row r="6" spans="1:10" x14ac:dyDescent="0.25">
      <c r="A6" s="2" t="s">
        <v>40</v>
      </c>
      <c r="B6" t="s">
        <v>43</v>
      </c>
      <c r="C6" t="s">
        <v>52</v>
      </c>
      <c r="D6" t="s">
        <v>49</v>
      </c>
      <c r="E6" t="s">
        <v>51</v>
      </c>
      <c r="F6" t="s">
        <v>55</v>
      </c>
      <c r="G6">
        <v>1100</v>
      </c>
      <c r="H6">
        <v>1500</v>
      </c>
      <c r="I6">
        <v>28</v>
      </c>
      <c r="J6">
        <v>24</v>
      </c>
    </row>
    <row r="7" spans="1:10" x14ac:dyDescent="0.25">
      <c r="A7" s="2" t="s">
        <v>45</v>
      </c>
      <c r="B7" t="s">
        <v>44</v>
      </c>
      <c r="C7" t="s">
        <v>52</v>
      </c>
      <c r="D7" t="s">
        <v>49</v>
      </c>
      <c r="E7" t="s">
        <v>51</v>
      </c>
      <c r="F7" t="s">
        <v>56</v>
      </c>
      <c r="G7">
        <v>1150</v>
      </c>
      <c r="H7">
        <v>1500</v>
      </c>
      <c r="I7">
        <v>12</v>
      </c>
      <c r="J7">
        <v>24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B13" sqref="B13"/>
    </sheetView>
  </sheetViews>
  <sheetFormatPr defaultRowHeight="15" x14ac:dyDescent="0.25"/>
  <cols>
    <col min="3" max="4" width="11.7109375" bestFit="1" customWidth="1"/>
  </cols>
  <sheetData>
    <row r="1" spans="1:4" x14ac:dyDescent="0.25">
      <c r="A1" s="1" t="s">
        <v>20</v>
      </c>
      <c r="B1" s="1" t="s">
        <v>8</v>
      </c>
      <c r="C1" s="1" t="s">
        <v>60</v>
      </c>
      <c r="D1" s="1" t="s">
        <v>61</v>
      </c>
    </row>
    <row r="2" spans="1:4" x14ac:dyDescent="0.25">
      <c r="A2" t="s">
        <v>58</v>
      </c>
      <c r="B2" t="s">
        <v>59</v>
      </c>
      <c r="C2" t="s">
        <v>62</v>
      </c>
      <c r="D2" t="s">
        <v>62</v>
      </c>
    </row>
    <row r="3" spans="1:4" x14ac:dyDescent="0.25">
      <c r="A3" t="s">
        <v>63</v>
      </c>
      <c r="B3" t="s">
        <v>66</v>
      </c>
      <c r="C3" t="s">
        <v>62</v>
      </c>
      <c r="D3" t="s">
        <v>62</v>
      </c>
    </row>
    <row r="4" spans="1:4" x14ac:dyDescent="0.25">
      <c r="A4" t="s">
        <v>64</v>
      </c>
      <c r="B4" t="s">
        <v>67</v>
      </c>
      <c r="C4" t="s">
        <v>62</v>
      </c>
      <c r="D4" t="s">
        <v>62</v>
      </c>
    </row>
    <row r="5" spans="1:4" x14ac:dyDescent="0.25">
      <c r="A5" t="s">
        <v>65</v>
      </c>
      <c r="B5" t="s">
        <v>68</v>
      </c>
      <c r="C5" t="s">
        <v>62</v>
      </c>
      <c r="D5" t="s">
        <v>62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1.7109375" bestFit="1" customWidth="1"/>
  </cols>
  <sheetData>
    <row r="1" spans="1:4" x14ac:dyDescent="0.25">
      <c r="A1" s="1" t="s">
        <v>22</v>
      </c>
      <c r="B1" s="1" t="s">
        <v>23</v>
      </c>
      <c r="C1" s="1" t="s">
        <v>21</v>
      </c>
      <c r="D1" s="1" t="s">
        <v>24</v>
      </c>
    </row>
    <row r="2" spans="1:4" x14ac:dyDescent="0.25">
      <c r="A2" t="s">
        <v>69</v>
      </c>
      <c r="B2" t="s">
        <v>70</v>
      </c>
      <c r="C2" t="s">
        <v>62</v>
      </c>
      <c r="D2" t="s">
        <v>74</v>
      </c>
    </row>
    <row r="3" spans="1:4" x14ac:dyDescent="0.25">
      <c r="A3" t="s">
        <v>72</v>
      </c>
      <c r="B3" t="s">
        <v>49</v>
      </c>
      <c r="C3" t="s">
        <v>62</v>
      </c>
      <c r="D3" t="s">
        <v>74</v>
      </c>
    </row>
    <row r="4" spans="1:4" x14ac:dyDescent="0.25">
      <c r="A4" t="s">
        <v>73</v>
      </c>
      <c r="B4" t="s">
        <v>71</v>
      </c>
      <c r="C4" t="s">
        <v>62</v>
      </c>
      <c r="D4" t="s">
        <v>74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0"/>
  <sheetViews>
    <sheetView workbookViewId="0">
      <selection activeCell="F4" sqref="F4"/>
    </sheetView>
  </sheetViews>
  <sheetFormatPr defaultRowHeight="15" x14ac:dyDescent="0.25"/>
  <cols>
    <col min="1" max="1" width="11" bestFit="1" customWidth="1"/>
    <col min="2" max="2" width="9.140625" style="4"/>
    <col min="5" max="5" width="18.42578125" bestFit="1" customWidth="1"/>
    <col min="6" max="6" width="9.42578125" bestFit="1" customWidth="1"/>
  </cols>
  <sheetData>
    <row r="1" spans="1:11" x14ac:dyDescent="0.25">
      <c r="A1" s="1" t="s">
        <v>25</v>
      </c>
      <c r="B1" s="3" t="s">
        <v>0</v>
      </c>
      <c r="C1" s="1" t="s">
        <v>1</v>
      </c>
      <c r="D1" s="1" t="s">
        <v>2</v>
      </c>
      <c r="E1" s="1" t="s">
        <v>57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26</v>
      </c>
      <c r="K1" s="1" t="s">
        <v>27</v>
      </c>
    </row>
    <row r="2" spans="1:11" x14ac:dyDescent="0.25">
      <c r="A2" t="s">
        <v>75</v>
      </c>
      <c r="B2" s="4">
        <v>46174</v>
      </c>
      <c r="C2" t="s">
        <v>80</v>
      </c>
      <c r="D2" t="s">
        <v>59</v>
      </c>
      <c r="E2" t="s">
        <v>18</v>
      </c>
      <c r="F2" t="str">
        <f>IFERROR(VLOOKUP(E2,Products!A:B,2,FALSE),"")</f>
        <v>R/S Crush</v>
      </c>
      <c r="G2">
        <v>1</v>
      </c>
      <c r="H2">
        <f>IFERROR(VLOOKUP(E2,Products!A:H,8,FALSE),"")</f>
        <v>2400</v>
      </c>
      <c r="I2">
        <v>100</v>
      </c>
      <c r="J2">
        <f>IFERROR((G2*H2-I2),"")</f>
        <v>2300</v>
      </c>
      <c r="K2">
        <f>IFERROR((H2-VLOOKUP(E2,Products!A:G,7,FALSE))*G2,"")</f>
        <v>200</v>
      </c>
    </row>
    <row r="3" spans="1:11" x14ac:dyDescent="0.25">
      <c r="A3" t="s">
        <v>76</v>
      </c>
      <c r="B3" s="4">
        <v>46175</v>
      </c>
      <c r="C3" t="s">
        <v>81</v>
      </c>
      <c r="D3" t="s">
        <v>67</v>
      </c>
      <c r="E3" t="s">
        <v>38</v>
      </c>
      <c r="F3" t="str">
        <f>IFERROR(VLOOKUP(E3,Products!A:B,2,FALSE),"")</f>
        <v>PC 2PCS</v>
      </c>
      <c r="G3">
        <v>1</v>
      </c>
      <c r="H3">
        <f>IFERROR(VLOOKUP(E3,Products!A:H,8,FALSE),"")</f>
        <v>1500</v>
      </c>
      <c r="I3">
        <v>0</v>
      </c>
      <c r="J3">
        <f t="shared" ref="J3:J66" si="0">IFERROR((G3*H3-I3),"")</f>
        <v>1500</v>
      </c>
      <c r="K3">
        <f>IFERROR((H3-VLOOKUP(E3,Products!A:G,7,FALSE))*G3,"")</f>
        <v>400</v>
      </c>
    </row>
    <row r="4" spans="1:11" x14ac:dyDescent="0.25">
      <c r="A4" t="s">
        <v>77</v>
      </c>
      <c r="B4" s="4">
        <v>46176</v>
      </c>
      <c r="C4" t="s">
        <v>80</v>
      </c>
      <c r="D4" t="s">
        <v>68</v>
      </c>
      <c r="E4" t="s">
        <v>39</v>
      </c>
      <c r="F4" t="str">
        <f>IFERROR(VLOOKUP(E4,Products!A:B,2,FALSE),"")</f>
        <v>PC 3PCS</v>
      </c>
      <c r="G4">
        <v>1</v>
      </c>
      <c r="H4">
        <f>IFERROR(VLOOKUP(E4,Products!A:H,8,FALSE),"")</f>
        <v>1500</v>
      </c>
      <c r="I4">
        <v>0</v>
      </c>
      <c r="J4">
        <f t="shared" si="0"/>
        <v>1500</v>
      </c>
      <c r="K4">
        <f>IFERROR((H4-VLOOKUP(E4,Products!A:G,7,FALSE))*G4,"")</f>
        <v>450</v>
      </c>
    </row>
    <row r="5" spans="1:11" x14ac:dyDescent="0.25">
      <c r="A5" t="s">
        <v>78</v>
      </c>
      <c r="B5" s="4">
        <v>46177</v>
      </c>
      <c r="C5" t="s">
        <v>80</v>
      </c>
      <c r="D5" t="s">
        <v>59</v>
      </c>
      <c r="E5" t="s">
        <v>40</v>
      </c>
      <c r="F5" t="str">
        <f>IFERROR(VLOOKUP(E5,Products!A:B,2,FALSE),"")</f>
        <v>PV 2PCS</v>
      </c>
      <c r="G5">
        <v>1</v>
      </c>
      <c r="H5">
        <f>IFERROR(VLOOKUP(E5,Products!A:H,8,FALSE),"")</f>
        <v>1500</v>
      </c>
      <c r="I5">
        <v>0</v>
      </c>
      <c r="J5">
        <f t="shared" si="0"/>
        <v>1500</v>
      </c>
      <c r="K5">
        <f>IFERROR((H5-VLOOKUP(E5,Products!A:G,7,FALSE))*G5,"")</f>
        <v>400</v>
      </c>
    </row>
    <row r="6" spans="1:11" x14ac:dyDescent="0.25">
      <c r="A6" t="s">
        <v>79</v>
      </c>
      <c r="B6" s="4">
        <v>46178</v>
      </c>
      <c r="C6" t="s">
        <v>81</v>
      </c>
      <c r="D6" t="s">
        <v>59</v>
      </c>
      <c r="E6" t="s">
        <v>16</v>
      </c>
      <c r="F6" t="str">
        <f>IFERROR(VLOOKUP(E6,Products!A:B,2,FALSE),"")</f>
        <v>NS-52</v>
      </c>
      <c r="G6">
        <v>1</v>
      </c>
      <c r="H6">
        <v>3000</v>
      </c>
      <c r="I6">
        <v>200</v>
      </c>
      <c r="J6">
        <f t="shared" si="0"/>
        <v>2800</v>
      </c>
      <c r="K6">
        <f>IFERROR((H6-VLOOKUP(E6,Products!A:G,7,FALSE))*G6,"")</f>
        <v>900</v>
      </c>
    </row>
    <row r="7" spans="1:11" x14ac:dyDescent="0.25">
      <c r="F7" t="str">
        <f>IFERROR(VLOOKUP(E7,Products!A:B,2,FALSE),"")</f>
        <v/>
      </c>
      <c r="H7" t="str">
        <f>IFERROR(VLOOKUP(E7,Products!A:H,8,FALSE),"")</f>
        <v/>
      </c>
      <c r="J7" t="str">
        <f t="shared" si="0"/>
        <v/>
      </c>
      <c r="K7" t="str">
        <f>IFERROR((H7-VLOOKUP(E7,Products!A:G,7,FALSE))*G7,"")</f>
        <v/>
      </c>
    </row>
    <row r="8" spans="1:11" x14ac:dyDescent="0.25">
      <c r="F8" t="str">
        <f>IFERROR(VLOOKUP(E8,Products!A:B,2,FALSE),"")</f>
        <v/>
      </c>
      <c r="H8" t="str">
        <f>IFERROR(VLOOKUP(E8,Products!A:H,8,FALSE),"")</f>
        <v/>
      </c>
      <c r="J8" t="str">
        <f t="shared" si="0"/>
        <v/>
      </c>
      <c r="K8" t="str">
        <f>IFERROR((H8-VLOOKUP(E8,Products!A:G,7,FALSE))*G8,"")</f>
        <v/>
      </c>
    </row>
    <row r="9" spans="1:11" x14ac:dyDescent="0.25">
      <c r="F9" t="str">
        <f>IFERROR(VLOOKUP(E9,Products!A:B,2,FALSE),"")</f>
        <v/>
      </c>
      <c r="H9" t="str">
        <f>IFERROR(VLOOKUP(E9,Products!A:H,8,FALSE),"")</f>
        <v/>
      </c>
      <c r="J9" t="str">
        <f t="shared" si="0"/>
        <v/>
      </c>
      <c r="K9" t="str">
        <f>IFERROR((H9-VLOOKUP(E9,Products!A:G,7,FALSE))*G9,"")</f>
        <v/>
      </c>
    </row>
    <row r="10" spans="1:11" x14ac:dyDescent="0.25">
      <c r="F10" t="str">
        <f>IFERROR(VLOOKUP(E10,Products!A:B,2,FALSE),"")</f>
        <v/>
      </c>
      <c r="H10" t="str">
        <f>IFERROR(VLOOKUP(E10,Products!A:H,8,FALSE),"")</f>
        <v/>
      </c>
      <c r="J10" t="str">
        <f t="shared" si="0"/>
        <v/>
      </c>
      <c r="K10" t="str">
        <f>IFERROR((H10-VLOOKUP(E10,Products!A:G,7,FALSE))*G10,"")</f>
        <v/>
      </c>
    </row>
    <row r="11" spans="1:11" x14ac:dyDescent="0.25">
      <c r="F11" t="str">
        <f>IFERROR(VLOOKUP(E11,Products!A:B,2,FALSE),"")</f>
        <v/>
      </c>
      <c r="H11" t="str">
        <f>IFERROR(VLOOKUP(E11,Products!A:H,8,FALSE),"")</f>
        <v/>
      </c>
      <c r="J11" t="str">
        <f t="shared" si="0"/>
        <v/>
      </c>
      <c r="K11" t="str">
        <f>IFERROR((H11-VLOOKUP(E11,Products!A:G,7,FALSE))*G11,"")</f>
        <v/>
      </c>
    </row>
    <row r="12" spans="1:11" x14ac:dyDescent="0.25">
      <c r="F12" t="str">
        <f>IFERROR(VLOOKUP(E12,Products!A:B,2,FALSE),"")</f>
        <v/>
      </c>
      <c r="H12" t="str">
        <f>IFERROR(VLOOKUP(E12,Products!A:H,8,FALSE),"")</f>
        <v/>
      </c>
      <c r="J12" t="str">
        <f t="shared" si="0"/>
        <v/>
      </c>
      <c r="K12" t="str">
        <f>IFERROR((H12-VLOOKUP(E12,Products!A:G,7,FALSE))*G12,"")</f>
        <v/>
      </c>
    </row>
    <row r="13" spans="1:11" x14ac:dyDescent="0.25">
      <c r="F13" t="str">
        <f>IFERROR(VLOOKUP(E13,Products!A:B,2,FALSE),"")</f>
        <v/>
      </c>
      <c r="H13" t="str">
        <f>IFERROR(VLOOKUP(E13,Products!A:H,8,FALSE),"")</f>
        <v/>
      </c>
      <c r="J13" t="str">
        <f t="shared" si="0"/>
        <v/>
      </c>
      <c r="K13" t="str">
        <f>IFERROR((H13-VLOOKUP(E13,Products!A:G,7,FALSE))*G13,"")</f>
        <v/>
      </c>
    </row>
    <row r="14" spans="1:11" x14ac:dyDescent="0.25">
      <c r="F14" t="str">
        <f>IFERROR(VLOOKUP(E14,Products!A:B,2,FALSE),"")</f>
        <v/>
      </c>
      <c r="H14" t="str">
        <f>IFERROR(VLOOKUP(E14,Products!A:H,8,FALSE),"")</f>
        <v/>
      </c>
      <c r="J14" t="str">
        <f t="shared" si="0"/>
        <v/>
      </c>
      <c r="K14" t="str">
        <f>IFERROR((H14-VLOOKUP(E14,Products!A:G,7,FALSE))*G14,"")</f>
        <v/>
      </c>
    </row>
    <row r="15" spans="1:11" x14ac:dyDescent="0.25">
      <c r="F15" t="str">
        <f>IFERROR(VLOOKUP(E15,Products!A:B,2,FALSE),"")</f>
        <v/>
      </c>
      <c r="H15" t="str">
        <f>IFERROR(VLOOKUP(E15,Products!A:H,8,FALSE),"")</f>
        <v/>
      </c>
      <c r="J15" t="str">
        <f t="shared" si="0"/>
        <v/>
      </c>
      <c r="K15" t="str">
        <f>IFERROR((H15-VLOOKUP(E15,Products!A:G,7,FALSE))*G15,"")</f>
        <v/>
      </c>
    </row>
    <row r="16" spans="1:11" x14ac:dyDescent="0.25">
      <c r="F16" t="str">
        <f>IFERROR(VLOOKUP(E16,Products!A:B,2,FALSE),"")</f>
        <v/>
      </c>
      <c r="H16" t="str">
        <f>IFERROR(VLOOKUP(E16,Products!A:H,8,FALSE),"")</f>
        <v/>
      </c>
      <c r="J16" t="str">
        <f t="shared" si="0"/>
        <v/>
      </c>
      <c r="K16" t="str">
        <f>IFERROR((H16-VLOOKUP(E16,Products!A:G,7,FALSE))*G16,"")</f>
        <v/>
      </c>
    </row>
    <row r="17" spans="6:11" x14ac:dyDescent="0.25">
      <c r="F17" t="str">
        <f>IFERROR(VLOOKUP(E17,Products!A:B,2,FALSE),"")</f>
        <v/>
      </c>
      <c r="H17" t="str">
        <f>IFERROR(VLOOKUP(E17,Products!A:H,8,FALSE),"")</f>
        <v/>
      </c>
      <c r="J17" t="str">
        <f t="shared" si="0"/>
        <v/>
      </c>
      <c r="K17" t="str">
        <f>IFERROR((H17-VLOOKUP(E17,Products!A:G,7,FALSE))*G17,"")</f>
        <v/>
      </c>
    </row>
    <row r="18" spans="6:11" x14ac:dyDescent="0.25">
      <c r="F18" t="str">
        <f>IFERROR(VLOOKUP(E18,Products!A:B,2,FALSE),"")</f>
        <v/>
      </c>
      <c r="H18" t="str">
        <f>IFERROR(VLOOKUP(E18,Products!A:H,8,FALSE),"")</f>
        <v/>
      </c>
      <c r="J18" t="str">
        <f t="shared" si="0"/>
        <v/>
      </c>
      <c r="K18" t="str">
        <f>IFERROR((H18-VLOOKUP(E18,Products!A:G,7,FALSE))*G18,"")</f>
        <v/>
      </c>
    </row>
    <row r="19" spans="6:11" x14ac:dyDescent="0.25">
      <c r="F19" t="str">
        <f>IFERROR(VLOOKUP(E19,Products!A:B,2,FALSE),"")</f>
        <v/>
      </c>
      <c r="H19" t="str">
        <f>IFERROR(VLOOKUP(E19,Products!A:H,8,FALSE),"")</f>
        <v/>
      </c>
      <c r="J19" t="str">
        <f t="shared" si="0"/>
        <v/>
      </c>
      <c r="K19" t="str">
        <f>IFERROR((H19-VLOOKUP(E19,Products!A:G,7,FALSE))*G19,"")</f>
        <v/>
      </c>
    </row>
    <row r="20" spans="6:11" x14ac:dyDescent="0.25">
      <c r="F20" t="str">
        <f>IFERROR(VLOOKUP(E20,Products!A:B,2,FALSE),"")</f>
        <v/>
      </c>
      <c r="H20" t="str">
        <f>IFERROR(VLOOKUP(E20,Products!A:H,8,FALSE),"")</f>
        <v/>
      </c>
      <c r="J20" t="str">
        <f t="shared" si="0"/>
        <v/>
      </c>
      <c r="K20" t="str">
        <f>IFERROR((H20-VLOOKUP(E20,Products!A:G,7,FALSE))*G20,"")</f>
        <v/>
      </c>
    </row>
    <row r="21" spans="6:11" x14ac:dyDescent="0.25">
      <c r="F21" t="str">
        <f>IFERROR(VLOOKUP(E21,Products!A:B,2,FALSE),"")</f>
        <v/>
      </c>
      <c r="H21" t="str">
        <f>IFERROR(VLOOKUP(E21,Products!A:H,8,FALSE),"")</f>
        <v/>
      </c>
      <c r="J21" t="str">
        <f t="shared" si="0"/>
        <v/>
      </c>
      <c r="K21" t="str">
        <f>IFERROR((H21-VLOOKUP(E21,Products!A:G,7,FALSE))*G21,"")</f>
        <v/>
      </c>
    </row>
    <row r="22" spans="6:11" x14ac:dyDescent="0.25">
      <c r="F22" t="str">
        <f>IFERROR(VLOOKUP(E22,Products!A:B,2,FALSE),"")</f>
        <v/>
      </c>
      <c r="H22" t="str">
        <f>IFERROR(VLOOKUP(E22,Products!A:H,8,FALSE),"")</f>
        <v/>
      </c>
      <c r="J22" t="str">
        <f t="shared" si="0"/>
        <v/>
      </c>
      <c r="K22" t="str">
        <f>IFERROR((H22-VLOOKUP(E22,Products!A:G,7,FALSE))*G22,"")</f>
        <v/>
      </c>
    </row>
    <row r="23" spans="6:11" x14ac:dyDescent="0.25">
      <c r="F23" t="str">
        <f>IFERROR(VLOOKUP(E23,Products!A:B,2,FALSE),"")</f>
        <v/>
      </c>
      <c r="H23" t="str">
        <f>IFERROR(VLOOKUP(E23,Products!A:H,8,FALSE),"")</f>
        <v/>
      </c>
      <c r="J23" t="str">
        <f t="shared" si="0"/>
        <v/>
      </c>
      <c r="K23" t="str">
        <f>IFERROR((H23-VLOOKUP(E23,Products!A:G,7,FALSE))*G23,"")</f>
        <v/>
      </c>
    </row>
    <row r="24" spans="6:11" x14ac:dyDescent="0.25">
      <c r="F24" t="str">
        <f>IFERROR(VLOOKUP(E24,Products!A:B,2,FALSE),"")</f>
        <v/>
      </c>
      <c r="H24" t="str">
        <f>IFERROR(VLOOKUP(E24,Products!A:H,8,FALSE),"")</f>
        <v/>
      </c>
      <c r="J24" t="str">
        <f t="shared" si="0"/>
        <v/>
      </c>
      <c r="K24" t="str">
        <f>IFERROR((H24-VLOOKUP(E24,Products!A:G,7,FALSE))*G24,"")</f>
        <v/>
      </c>
    </row>
    <row r="25" spans="6:11" x14ac:dyDescent="0.25">
      <c r="F25" t="str">
        <f>IFERROR(VLOOKUP(E25,Products!A:B,2,FALSE),"")</f>
        <v/>
      </c>
      <c r="H25" t="str">
        <f>IFERROR(VLOOKUP(E25,Products!A:H,8,FALSE),"")</f>
        <v/>
      </c>
      <c r="J25" t="str">
        <f t="shared" si="0"/>
        <v/>
      </c>
      <c r="K25" t="str">
        <f>IFERROR((H25-VLOOKUP(E25,Products!A:G,7,FALSE))*G25,"")</f>
        <v/>
      </c>
    </row>
    <row r="26" spans="6:11" x14ac:dyDescent="0.25">
      <c r="F26" t="str">
        <f>IFERROR(VLOOKUP(E26,Products!A:B,2,FALSE),"")</f>
        <v/>
      </c>
      <c r="H26" t="str">
        <f>IFERROR(VLOOKUP(E26,Products!A:H,8,FALSE),"")</f>
        <v/>
      </c>
      <c r="J26" t="str">
        <f t="shared" si="0"/>
        <v/>
      </c>
      <c r="K26" t="str">
        <f>IFERROR((H26-VLOOKUP(E26,Products!A:G,7,FALSE))*G26,"")</f>
        <v/>
      </c>
    </row>
    <row r="27" spans="6:11" x14ac:dyDescent="0.25">
      <c r="F27" t="str">
        <f>IFERROR(VLOOKUP(E27,Products!A:B,2,FALSE),"")</f>
        <v/>
      </c>
      <c r="H27" t="str">
        <f>IFERROR(VLOOKUP(E27,Products!A:H,8,FALSE),"")</f>
        <v/>
      </c>
      <c r="J27" t="str">
        <f t="shared" si="0"/>
        <v/>
      </c>
      <c r="K27" t="str">
        <f>IFERROR((H27-VLOOKUP(E27,Products!A:G,7,FALSE))*G27,"")</f>
        <v/>
      </c>
    </row>
    <row r="28" spans="6:11" x14ac:dyDescent="0.25">
      <c r="F28" t="str">
        <f>IFERROR(VLOOKUP(E28,Products!A:B,2,FALSE),"")</f>
        <v/>
      </c>
      <c r="H28" t="str">
        <f>IFERROR(VLOOKUP(E28,Products!A:H,8,FALSE),"")</f>
        <v/>
      </c>
      <c r="J28" t="str">
        <f t="shared" si="0"/>
        <v/>
      </c>
      <c r="K28" t="str">
        <f>IFERROR((H28-VLOOKUP(E28,Products!A:G,7,FALSE))*G28,"")</f>
        <v/>
      </c>
    </row>
    <row r="29" spans="6:11" x14ac:dyDescent="0.25">
      <c r="F29" t="str">
        <f>IFERROR(VLOOKUP(E29,Products!A:B,2,FALSE),"")</f>
        <v/>
      </c>
      <c r="H29" t="str">
        <f>IFERROR(VLOOKUP(E29,Products!A:H,8,FALSE),"")</f>
        <v/>
      </c>
      <c r="J29" t="str">
        <f t="shared" si="0"/>
        <v/>
      </c>
      <c r="K29" t="str">
        <f>IFERROR((H29-VLOOKUP(E29,Products!A:G,7,FALSE))*G29,"")</f>
        <v/>
      </c>
    </row>
    <row r="30" spans="6:11" x14ac:dyDescent="0.25">
      <c r="F30" t="str">
        <f>IFERROR(VLOOKUP(E30,Products!A:B,2,FALSE),"")</f>
        <v/>
      </c>
      <c r="H30" t="str">
        <f>IFERROR(VLOOKUP(E30,Products!A:H,8,FALSE),"")</f>
        <v/>
      </c>
      <c r="J30" t="str">
        <f t="shared" si="0"/>
        <v/>
      </c>
      <c r="K30" t="str">
        <f>IFERROR((H30-VLOOKUP(E30,Products!A:G,7,FALSE))*G30,"")</f>
        <v/>
      </c>
    </row>
    <row r="31" spans="6:11" x14ac:dyDescent="0.25">
      <c r="F31" t="str">
        <f>IFERROR(VLOOKUP(E31,Products!A:B,2,FALSE),"")</f>
        <v/>
      </c>
      <c r="H31" t="str">
        <f>IFERROR(VLOOKUP(E31,Products!A:H,8,FALSE),"")</f>
        <v/>
      </c>
      <c r="J31" t="str">
        <f t="shared" si="0"/>
        <v/>
      </c>
      <c r="K31" t="str">
        <f>IFERROR((H31-VLOOKUP(E31,Products!A:G,7,FALSE))*G31,"")</f>
        <v/>
      </c>
    </row>
    <row r="32" spans="6:11" x14ac:dyDescent="0.25">
      <c r="F32" t="str">
        <f>IFERROR(VLOOKUP(E32,Products!A:B,2,FALSE),"")</f>
        <v/>
      </c>
      <c r="H32" t="str">
        <f>IFERROR(VLOOKUP(E32,Products!A:H,8,FALSE),"")</f>
        <v/>
      </c>
      <c r="J32" t="str">
        <f t="shared" si="0"/>
        <v/>
      </c>
      <c r="K32" t="str">
        <f>IFERROR((H32-VLOOKUP(E32,Products!A:G,7,FALSE))*G32,"")</f>
        <v/>
      </c>
    </row>
    <row r="33" spans="6:11" x14ac:dyDescent="0.25">
      <c r="F33" t="str">
        <f>IFERROR(VLOOKUP(E33,Products!A:B,2,FALSE),"")</f>
        <v/>
      </c>
      <c r="H33" t="str">
        <f>IFERROR(VLOOKUP(E33,Products!A:H,8,FALSE),"")</f>
        <v/>
      </c>
      <c r="J33" t="str">
        <f t="shared" si="0"/>
        <v/>
      </c>
      <c r="K33" t="str">
        <f>IFERROR((H33-VLOOKUP(E33,Products!A:G,7,FALSE))*G33,"")</f>
        <v/>
      </c>
    </row>
    <row r="34" spans="6:11" x14ac:dyDescent="0.25">
      <c r="F34" t="str">
        <f>IFERROR(VLOOKUP(E34,Products!A:B,2,FALSE),"")</f>
        <v/>
      </c>
      <c r="H34" t="str">
        <f>IFERROR(VLOOKUP(E34,Products!A:H,8,FALSE),"")</f>
        <v/>
      </c>
      <c r="J34" t="str">
        <f t="shared" si="0"/>
        <v/>
      </c>
      <c r="K34" t="str">
        <f>IFERROR((H34-VLOOKUP(E34,Products!A:G,7,FALSE))*G34,"")</f>
        <v/>
      </c>
    </row>
    <row r="35" spans="6:11" x14ac:dyDescent="0.25">
      <c r="F35" t="str">
        <f>IFERROR(VLOOKUP(E35,Products!A:B,2,FALSE),"")</f>
        <v/>
      </c>
      <c r="H35" t="str">
        <f>IFERROR(VLOOKUP(E35,Products!A:H,8,FALSE),"")</f>
        <v/>
      </c>
      <c r="J35" t="str">
        <f t="shared" si="0"/>
        <v/>
      </c>
      <c r="K35" t="str">
        <f>IFERROR((H35-VLOOKUP(E35,Products!A:G,7,FALSE))*G35,"")</f>
        <v/>
      </c>
    </row>
    <row r="36" spans="6:11" x14ac:dyDescent="0.25">
      <c r="F36" t="str">
        <f>IFERROR(VLOOKUP(E36,Products!A:B,2,FALSE),"")</f>
        <v/>
      </c>
      <c r="H36" t="str">
        <f>IFERROR(VLOOKUP(E36,Products!A:H,8,FALSE),"")</f>
        <v/>
      </c>
      <c r="J36" t="str">
        <f t="shared" si="0"/>
        <v/>
      </c>
      <c r="K36" t="str">
        <f>IFERROR((H36-VLOOKUP(E36,Products!A:G,7,FALSE))*G36,"")</f>
        <v/>
      </c>
    </row>
    <row r="37" spans="6:11" x14ac:dyDescent="0.25">
      <c r="F37" t="str">
        <f>IFERROR(VLOOKUP(E37,Products!A:B,2,FALSE),"")</f>
        <v/>
      </c>
      <c r="H37" t="str">
        <f>IFERROR(VLOOKUP(E37,Products!A:H,8,FALSE),"")</f>
        <v/>
      </c>
      <c r="J37" t="str">
        <f t="shared" si="0"/>
        <v/>
      </c>
      <c r="K37" t="str">
        <f>IFERROR((H37-VLOOKUP(E37,Products!A:G,7,FALSE))*G37,"")</f>
        <v/>
      </c>
    </row>
    <row r="38" spans="6:11" x14ac:dyDescent="0.25">
      <c r="F38" t="str">
        <f>IFERROR(VLOOKUP(E38,Products!A:B,2,FALSE),"")</f>
        <v/>
      </c>
      <c r="H38" t="str">
        <f>IFERROR(VLOOKUP(E38,Products!A:H,8,FALSE),"")</f>
        <v/>
      </c>
      <c r="J38" t="str">
        <f t="shared" si="0"/>
        <v/>
      </c>
      <c r="K38" t="str">
        <f>IFERROR((H38-VLOOKUP(E38,Products!A:G,7,FALSE))*G38,"")</f>
        <v/>
      </c>
    </row>
    <row r="39" spans="6:11" x14ac:dyDescent="0.25">
      <c r="F39" t="str">
        <f>IFERROR(VLOOKUP(E39,Products!A:B,2,FALSE),"")</f>
        <v/>
      </c>
      <c r="H39" t="str">
        <f>IFERROR(VLOOKUP(E39,Products!A:H,8,FALSE),"")</f>
        <v/>
      </c>
      <c r="J39" t="str">
        <f t="shared" si="0"/>
        <v/>
      </c>
      <c r="K39" t="str">
        <f>IFERROR((H39-VLOOKUP(E39,Products!A:G,7,FALSE))*G39,"")</f>
        <v/>
      </c>
    </row>
    <row r="40" spans="6:11" x14ac:dyDescent="0.25">
      <c r="F40" t="str">
        <f>IFERROR(VLOOKUP(E40,Products!A:B,2,FALSE),"")</f>
        <v/>
      </c>
      <c r="H40" t="str">
        <f>IFERROR(VLOOKUP(E40,Products!A:H,8,FALSE),"")</f>
        <v/>
      </c>
      <c r="J40" t="str">
        <f t="shared" si="0"/>
        <v/>
      </c>
      <c r="K40" t="str">
        <f>IFERROR((H40-VLOOKUP(E40,Products!A:G,7,FALSE))*G40,"")</f>
        <v/>
      </c>
    </row>
    <row r="41" spans="6:11" x14ac:dyDescent="0.25">
      <c r="F41" t="str">
        <f>IFERROR(VLOOKUP(E41,Products!A:B,2,FALSE),"")</f>
        <v/>
      </c>
      <c r="H41" t="str">
        <f>IFERROR(VLOOKUP(E41,Products!A:H,8,FALSE),"")</f>
        <v/>
      </c>
      <c r="J41" t="str">
        <f t="shared" si="0"/>
        <v/>
      </c>
      <c r="K41" t="str">
        <f>IFERROR((H41-VLOOKUP(E41,Products!A:G,7,FALSE))*G41,"")</f>
        <v/>
      </c>
    </row>
    <row r="42" spans="6:11" x14ac:dyDescent="0.25">
      <c r="F42" t="str">
        <f>IFERROR(VLOOKUP(E42,Products!A:B,2,FALSE),"")</f>
        <v/>
      </c>
      <c r="H42" t="str">
        <f>IFERROR(VLOOKUP(E42,Products!A:H,8,FALSE),"")</f>
        <v/>
      </c>
      <c r="J42" t="str">
        <f t="shared" si="0"/>
        <v/>
      </c>
      <c r="K42" t="str">
        <f>IFERROR((H42-VLOOKUP(E42,Products!A:G,7,FALSE))*G42,"")</f>
        <v/>
      </c>
    </row>
    <row r="43" spans="6:11" x14ac:dyDescent="0.25">
      <c r="F43" t="str">
        <f>IFERROR(VLOOKUP(E43,Products!A:B,2,FALSE),"")</f>
        <v/>
      </c>
      <c r="H43" t="str">
        <f>IFERROR(VLOOKUP(E43,Products!A:H,8,FALSE),"")</f>
        <v/>
      </c>
      <c r="J43" t="str">
        <f t="shared" si="0"/>
        <v/>
      </c>
      <c r="K43" t="str">
        <f>IFERROR((H43-VLOOKUP(E43,Products!A:G,7,FALSE))*G43,"")</f>
        <v/>
      </c>
    </row>
    <row r="44" spans="6:11" x14ac:dyDescent="0.25">
      <c r="F44" t="str">
        <f>IFERROR(VLOOKUP(E44,Products!A:B,2,FALSE),"")</f>
        <v/>
      </c>
      <c r="H44" t="str">
        <f>IFERROR(VLOOKUP(E44,Products!A:H,8,FALSE),"")</f>
        <v/>
      </c>
      <c r="J44" t="str">
        <f t="shared" si="0"/>
        <v/>
      </c>
      <c r="K44" t="str">
        <f>IFERROR((H44-VLOOKUP(E44,Products!A:G,7,FALSE))*G44,"")</f>
        <v/>
      </c>
    </row>
    <row r="45" spans="6:11" x14ac:dyDescent="0.25">
      <c r="F45" t="str">
        <f>IFERROR(VLOOKUP(E45,Products!A:B,2,FALSE),"")</f>
        <v/>
      </c>
      <c r="H45" t="str">
        <f>IFERROR(VLOOKUP(E45,Products!A:H,8,FALSE),"")</f>
        <v/>
      </c>
      <c r="J45" t="str">
        <f t="shared" si="0"/>
        <v/>
      </c>
      <c r="K45" t="str">
        <f>IFERROR((H45-VLOOKUP(E45,Products!A:G,7,FALSE))*G45,"")</f>
        <v/>
      </c>
    </row>
    <row r="46" spans="6:11" x14ac:dyDescent="0.25">
      <c r="F46" t="str">
        <f>IFERROR(VLOOKUP(E46,Products!A:B,2,FALSE),"")</f>
        <v/>
      </c>
      <c r="H46" t="str">
        <f>IFERROR(VLOOKUP(E46,Products!A:H,8,FALSE),"")</f>
        <v/>
      </c>
      <c r="J46" t="str">
        <f t="shared" si="0"/>
        <v/>
      </c>
      <c r="K46" t="str">
        <f>IFERROR((H46-VLOOKUP(E46,Products!A:G,7,FALSE))*G46,"")</f>
        <v/>
      </c>
    </row>
    <row r="47" spans="6:11" x14ac:dyDescent="0.25">
      <c r="F47" t="str">
        <f>IFERROR(VLOOKUP(E47,Products!A:B,2,FALSE),"")</f>
        <v/>
      </c>
      <c r="H47" t="str">
        <f>IFERROR(VLOOKUP(E47,Products!A:H,8,FALSE),"")</f>
        <v/>
      </c>
      <c r="J47" t="str">
        <f t="shared" si="0"/>
        <v/>
      </c>
      <c r="K47" t="str">
        <f>IFERROR((H47-VLOOKUP(E47,Products!A:G,7,FALSE))*G47,"")</f>
        <v/>
      </c>
    </row>
    <row r="48" spans="6:11" x14ac:dyDescent="0.25">
      <c r="F48" t="str">
        <f>IFERROR(VLOOKUP(E48,Products!A:B,2,FALSE),"")</f>
        <v/>
      </c>
      <c r="H48" t="str">
        <f>IFERROR(VLOOKUP(E48,Products!A:H,8,FALSE),"")</f>
        <v/>
      </c>
      <c r="J48" t="str">
        <f t="shared" si="0"/>
        <v/>
      </c>
      <c r="K48" t="str">
        <f>IFERROR((H48-VLOOKUP(E48,Products!A:G,7,FALSE))*G48,"")</f>
        <v/>
      </c>
    </row>
    <row r="49" spans="6:11" x14ac:dyDescent="0.25">
      <c r="F49" t="str">
        <f>IFERROR(VLOOKUP(E49,Products!A:B,2,FALSE),"")</f>
        <v/>
      </c>
      <c r="H49" t="str">
        <f>IFERROR(VLOOKUP(E49,Products!A:H,8,FALSE),"")</f>
        <v/>
      </c>
      <c r="J49" t="str">
        <f t="shared" si="0"/>
        <v/>
      </c>
      <c r="K49" t="str">
        <f>IFERROR((H49-VLOOKUP(E49,Products!A:G,7,FALSE))*G49,"")</f>
        <v/>
      </c>
    </row>
    <row r="50" spans="6:11" x14ac:dyDescent="0.25">
      <c r="F50" t="str">
        <f>IFERROR(VLOOKUP(E50,Products!A:B,2,FALSE),"")</f>
        <v/>
      </c>
      <c r="H50" t="str">
        <f>IFERROR(VLOOKUP(E50,Products!A:H,8,FALSE),"")</f>
        <v/>
      </c>
      <c r="J50" t="str">
        <f t="shared" si="0"/>
        <v/>
      </c>
      <c r="K50" t="str">
        <f>IFERROR((H50-VLOOKUP(E50,Products!A:G,7,FALSE))*G50,"")</f>
        <v/>
      </c>
    </row>
    <row r="51" spans="6:11" x14ac:dyDescent="0.25">
      <c r="F51" t="str">
        <f>IFERROR(VLOOKUP(E51,Products!A:B,2,FALSE),"")</f>
        <v/>
      </c>
      <c r="H51" t="str">
        <f>IFERROR(VLOOKUP(E51,Products!A:H,8,FALSE),"")</f>
        <v/>
      </c>
      <c r="J51" t="str">
        <f t="shared" si="0"/>
        <v/>
      </c>
      <c r="K51" t="str">
        <f>IFERROR((H51-VLOOKUP(E51,Products!A:G,7,FALSE))*G51,"")</f>
        <v/>
      </c>
    </row>
    <row r="52" spans="6:11" x14ac:dyDescent="0.25">
      <c r="F52" t="str">
        <f>IFERROR(VLOOKUP(E52,Products!A:B,2,FALSE),"")</f>
        <v/>
      </c>
      <c r="H52" t="str">
        <f>IFERROR(VLOOKUP(E52,Products!A:H,8,FALSE),"")</f>
        <v/>
      </c>
      <c r="J52" t="str">
        <f t="shared" si="0"/>
        <v/>
      </c>
      <c r="K52" t="str">
        <f>IFERROR((H52-VLOOKUP(E52,Products!A:G,7,FALSE))*G52,"")</f>
        <v/>
      </c>
    </row>
    <row r="53" spans="6:11" x14ac:dyDescent="0.25">
      <c r="F53" t="str">
        <f>IFERROR(VLOOKUP(E53,Products!A:B,2,FALSE),"")</f>
        <v/>
      </c>
      <c r="H53" t="str">
        <f>IFERROR(VLOOKUP(E53,Products!A:H,8,FALSE),"")</f>
        <v/>
      </c>
      <c r="J53" t="str">
        <f t="shared" si="0"/>
        <v/>
      </c>
      <c r="K53" t="str">
        <f>IFERROR((H53-VLOOKUP(E53,Products!A:G,7,FALSE))*G53,"")</f>
        <v/>
      </c>
    </row>
    <row r="54" spans="6:11" x14ac:dyDescent="0.25">
      <c r="F54" t="str">
        <f>IFERROR(VLOOKUP(E54,Products!A:B,2,FALSE),"")</f>
        <v/>
      </c>
      <c r="H54" t="str">
        <f>IFERROR(VLOOKUP(E54,Products!A:H,8,FALSE),"")</f>
        <v/>
      </c>
      <c r="J54" t="str">
        <f t="shared" si="0"/>
        <v/>
      </c>
      <c r="K54" t="str">
        <f>IFERROR((H54-VLOOKUP(E54,Products!A:G,7,FALSE))*G54,"")</f>
        <v/>
      </c>
    </row>
    <row r="55" spans="6:11" x14ac:dyDescent="0.25">
      <c r="F55" t="str">
        <f>IFERROR(VLOOKUP(E55,Products!A:B,2,FALSE),"")</f>
        <v/>
      </c>
      <c r="H55" t="str">
        <f>IFERROR(VLOOKUP(E55,Products!A:H,8,FALSE),"")</f>
        <v/>
      </c>
      <c r="J55" t="str">
        <f t="shared" si="0"/>
        <v/>
      </c>
      <c r="K55" t="str">
        <f>IFERROR((H55-VLOOKUP(E55,Products!A:G,7,FALSE))*G55,"")</f>
        <v/>
      </c>
    </row>
    <row r="56" spans="6:11" x14ac:dyDescent="0.25">
      <c r="F56" t="str">
        <f>IFERROR(VLOOKUP(E56,Products!A:B,2,FALSE),"")</f>
        <v/>
      </c>
      <c r="H56" t="str">
        <f>IFERROR(VLOOKUP(E56,Products!A:H,8,FALSE),"")</f>
        <v/>
      </c>
      <c r="J56" t="str">
        <f t="shared" si="0"/>
        <v/>
      </c>
      <c r="K56" t="str">
        <f>IFERROR((H56-VLOOKUP(E56,Products!A:G,7,FALSE))*G56,"")</f>
        <v/>
      </c>
    </row>
    <row r="57" spans="6:11" x14ac:dyDescent="0.25">
      <c r="F57" t="str">
        <f>IFERROR(VLOOKUP(E57,Products!A:B,2,FALSE),"")</f>
        <v/>
      </c>
      <c r="H57" t="str">
        <f>IFERROR(VLOOKUP(E57,Products!A:H,8,FALSE),"")</f>
        <v/>
      </c>
      <c r="J57" t="str">
        <f t="shared" si="0"/>
        <v/>
      </c>
      <c r="K57" t="str">
        <f>IFERROR((H57-VLOOKUP(E57,Products!A:G,7,FALSE))*G57,"")</f>
        <v/>
      </c>
    </row>
    <row r="58" spans="6:11" x14ac:dyDescent="0.25">
      <c r="F58" t="str">
        <f>IFERROR(VLOOKUP(E58,Products!A:B,2,FALSE),"")</f>
        <v/>
      </c>
      <c r="H58" t="str">
        <f>IFERROR(VLOOKUP(E58,Products!A:H,8,FALSE),"")</f>
        <v/>
      </c>
      <c r="J58" t="str">
        <f t="shared" si="0"/>
        <v/>
      </c>
      <c r="K58" t="str">
        <f>IFERROR((H58-VLOOKUP(E58,Products!A:G,7,FALSE))*G58,"")</f>
        <v/>
      </c>
    </row>
    <row r="59" spans="6:11" x14ac:dyDescent="0.25">
      <c r="F59" t="str">
        <f>IFERROR(VLOOKUP(E59,Products!A:B,2,FALSE),"")</f>
        <v/>
      </c>
      <c r="H59" t="str">
        <f>IFERROR(VLOOKUP(E59,Products!A:H,8,FALSE),"")</f>
        <v/>
      </c>
      <c r="J59" t="str">
        <f t="shared" si="0"/>
        <v/>
      </c>
      <c r="K59" t="str">
        <f>IFERROR((H59-VLOOKUP(E59,Products!A:G,7,FALSE))*G59,"")</f>
        <v/>
      </c>
    </row>
    <row r="60" spans="6:11" x14ac:dyDescent="0.25">
      <c r="F60" t="str">
        <f>IFERROR(VLOOKUP(E60,Products!A:B,2,FALSE),"")</f>
        <v/>
      </c>
      <c r="H60" t="str">
        <f>IFERROR(VLOOKUP(E60,Products!A:H,8,FALSE),"")</f>
        <v/>
      </c>
      <c r="J60" t="str">
        <f t="shared" si="0"/>
        <v/>
      </c>
      <c r="K60" t="str">
        <f>IFERROR((H60-VLOOKUP(E60,Products!A:G,7,FALSE))*G60,"")</f>
        <v/>
      </c>
    </row>
    <row r="61" spans="6:11" x14ac:dyDescent="0.25">
      <c r="F61" t="str">
        <f>IFERROR(VLOOKUP(E61,Products!A:B,2,FALSE),"")</f>
        <v/>
      </c>
      <c r="H61" t="str">
        <f>IFERROR(VLOOKUP(E61,Products!A:H,8,FALSE),"")</f>
        <v/>
      </c>
      <c r="J61" t="str">
        <f t="shared" si="0"/>
        <v/>
      </c>
      <c r="K61" t="str">
        <f>IFERROR((H61-VLOOKUP(E61,Products!A:G,7,FALSE))*G61,"")</f>
        <v/>
      </c>
    </row>
    <row r="62" spans="6:11" x14ac:dyDescent="0.25">
      <c r="F62" t="str">
        <f>IFERROR(VLOOKUP(E62,Products!A:B,2,FALSE),"")</f>
        <v/>
      </c>
      <c r="H62" t="str">
        <f>IFERROR(VLOOKUP(E62,Products!A:H,8,FALSE),"")</f>
        <v/>
      </c>
      <c r="J62" t="str">
        <f t="shared" si="0"/>
        <v/>
      </c>
      <c r="K62" t="str">
        <f>IFERROR((H62-VLOOKUP(E62,Products!A:G,7,FALSE))*G62,"")</f>
        <v/>
      </c>
    </row>
    <row r="63" spans="6:11" x14ac:dyDescent="0.25">
      <c r="F63" t="str">
        <f>IFERROR(VLOOKUP(E63,Products!A:B,2,FALSE),"")</f>
        <v/>
      </c>
      <c r="H63" t="str">
        <f>IFERROR(VLOOKUP(E63,Products!A:H,8,FALSE),"")</f>
        <v/>
      </c>
      <c r="J63" t="str">
        <f t="shared" si="0"/>
        <v/>
      </c>
      <c r="K63" t="str">
        <f>IFERROR((H63-VLOOKUP(E63,Products!A:G,7,FALSE))*G63,"")</f>
        <v/>
      </c>
    </row>
    <row r="64" spans="6:11" x14ac:dyDescent="0.25">
      <c r="F64" t="str">
        <f>IFERROR(VLOOKUP(E64,Products!A:B,2,FALSE),"")</f>
        <v/>
      </c>
      <c r="H64" t="str">
        <f>IFERROR(VLOOKUP(E64,Products!A:H,8,FALSE),"")</f>
        <v/>
      </c>
      <c r="J64" t="str">
        <f t="shared" si="0"/>
        <v/>
      </c>
      <c r="K64" t="str">
        <f>IFERROR((H64-VLOOKUP(E64,Products!A:G,7,FALSE))*G64,"")</f>
        <v/>
      </c>
    </row>
    <row r="65" spans="6:11" x14ac:dyDescent="0.25">
      <c r="F65" t="str">
        <f>IFERROR(VLOOKUP(E65,Products!A:B,2,FALSE),"")</f>
        <v/>
      </c>
      <c r="H65" t="str">
        <f>IFERROR(VLOOKUP(E65,Products!A:H,8,FALSE),"")</f>
        <v/>
      </c>
      <c r="J65" t="str">
        <f t="shared" si="0"/>
        <v/>
      </c>
      <c r="K65" t="str">
        <f>IFERROR((H65-VLOOKUP(E65,Products!A:G,7,FALSE))*G65,"")</f>
        <v/>
      </c>
    </row>
    <row r="66" spans="6:11" x14ac:dyDescent="0.25">
      <c r="F66" t="str">
        <f>IFERROR(VLOOKUP(E66,Products!A:B,2,FALSE),"")</f>
        <v/>
      </c>
      <c r="H66" t="str">
        <f>IFERROR(VLOOKUP(E66,Products!A:H,8,FALSE),"")</f>
        <v/>
      </c>
      <c r="J66" t="str">
        <f t="shared" si="0"/>
        <v/>
      </c>
      <c r="K66" t="str">
        <f>IFERROR((H66-VLOOKUP(E66,Products!A:G,7,FALSE))*G66,"")</f>
        <v/>
      </c>
    </row>
    <row r="67" spans="6:11" x14ac:dyDescent="0.25">
      <c r="F67" t="str">
        <f>IFERROR(VLOOKUP(E67,Products!A:B,2,FALSE),"")</f>
        <v/>
      </c>
      <c r="H67" t="str">
        <f>IFERROR(VLOOKUP(E67,Products!A:H,8,FALSE),"")</f>
        <v/>
      </c>
      <c r="J67" t="str">
        <f t="shared" ref="J67:J130" si="1">IFERROR((G67*H67-I67),"")</f>
        <v/>
      </c>
      <c r="K67" t="str">
        <f>IFERROR((H67-VLOOKUP(E67,Products!A:G,7,FALSE))*G67,"")</f>
        <v/>
      </c>
    </row>
    <row r="68" spans="6:11" x14ac:dyDescent="0.25">
      <c r="F68" t="str">
        <f>IFERROR(VLOOKUP(E68,Products!A:B,2,FALSE),"")</f>
        <v/>
      </c>
      <c r="H68" t="str">
        <f>IFERROR(VLOOKUP(E68,Products!A:H,8,FALSE),"")</f>
        <v/>
      </c>
      <c r="J68" t="str">
        <f t="shared" si="1"/>
        <v/>
      </c>
      <c r="K68" t="str">
        <f>IFERROR((H68-VLOOKUP(E68,Products!A:G,7,FALSE))*G68,"")</f>
        <v/>
      </c>
    </row>
    <row r="69" spans="6:11" x14ac:dyDescent="0.25">
      <c r="F69" t="str">
        <f>IFERROR(VLOOKUP(E69,Products!A:B,2,FALSE),"")</f>
        <v/>
      </c>
      <c r="H69" t="str">
        <f>IFERROR(VLOOKUP(E69,Products!A:H,8,FALSE),"")</f>
        <v/>
      </c>
      <c r="J69" t="str">
        <f t="shared" si="1"/>
        <v/>
      </c>
      <c r="K69" t="str">
        <f>IFERROR((H69-VLOOKUP(E69,Products!A:G,7,FALSE))*G69,"")</f>
        <v/>
      </c>
    </row>
    <row r="70" spans="6:11" x14ac:dyDescent="0.25">
      <c r="F70" t="str">
        <f>IFERROR(VLOOKUP(E70,Products!A:B,2,FALSE),"")</f>
        <v/>
      </c>
      <c r="H70" t="str">
        <f>IFERROR(VLOOKUP(E70,Products!A:H,8,FALSE),"")</f>
        <v/>
      </c>
      <c r="J70" t="str">
        <f t="shared" si="1"/>
        <v/>
      </c>
      <c r="K70" t="str">
        <f>IFERROR((H70-VLOOKUP(E70,Products!A:G,7,FALSE))*G70,"")</f>
        <v/>
      </c>
    </row>
    <row r="71" spans="6:11" x14ac:dyDescent="0.25">
      <c r="F71" t="str">
        <f>IFERROR(VLOOKUP(E71,Products!A:B,2,FALSE),"")</f>
        <v/>
      </c>
      <c r="H71" t="str">
        <f>IFERROR(VLOOKUP(E71,Products!A:H,8,FALSE),"")</f>
        <v/>
      </c>
      <c r="J71" t="str">
        <f t="shared" si="1"/>
        <v/>
      </c>
      <c r="K71" t="str">
        <f>IFERROR((H71-VLOOKUP(E71,Products!A:G,7,FALSE))*G71,"")</f>
        <v/>
      </c>
    </row>
    <row r="72" spans="6:11" x14ac:dyDescent="0.25">
      <c r="F72" t="str">
        <f>IFERROR(VLOOKUP(E72,Products!A:B,2,FALSE),"")</f>
        <v/>
      </c>
      <c r="H72" t="str">
        <f>IFERROR(VLOOKUP(E72,Products!A:H,8,FALSE),"")</f>
        <v/>
      </c>
      <c r="J72" t="str">
        <f t="shared" si="1"/>
        <v/>
      </c>
      <c r="K72" t="str">
        <f>IFERROR((H72-VLOOKUP(E72,Products!A:G,7,FALSE))*G72,"")</f>
        <v/>
      </c>
    </row>
    <row r="73" spans="6:11" x14ac:dyDescent="0.25">
      <c r="F73" t="str">
        <f>IFERROR(VLOOKUP(E73,Products!A:B,2,FALSE),"")</f>
        <v/>
      </c>
      <c r="H73" t="str">
        <f>IFERROR(VLOOKUP(E73,Products!A:H,8,FALSE),"")</f>
        <v/>
      </c>
      <c r="J73" t="str">
        <f t="shared" si="1"/>
        <v/>
      </c>
      <c r="K73" t="str">
        <f>IFERROR((H73-VLOOKUP(E73,Products!A:G,7,FALSE))*G73,"")</f>
        <v/>
      </c>
    </row>
    <row r="74" spans="6:11" x14ac:dyDescent="0.25">
      <c r="F74" t="str">
        <f>IFERROR(VLOOKUP(E74,Products!A:B,2,FALSE),"")</f>
        <v/>
      </c>
      <c r="H74" t="str">
        <f>IFERROR(VLOOKUP(E74,Products!A:H,8,FALSE),"")</f>
        <v/>
      </c>
      <c r="J74" t="str">
        <f t="shared" si="1"/>
        <v/>
      </c>
      <c r="K74" t="str">
        <f>IFERROR((H74-VLOOKUP(E74,Products!A:G,7,FALSE))*G74,"")</f>
        <v/>
      </c>
    </row>
    <row r="75" spans="6:11" x14ac:dyDescent="0.25">
      <c r="F75" t="str">
        <f>IFERROR(VLOOKUP(E75,Products!A:B,2,FALSE),"")</f>
        <v/>
      </c>
      <c r="H75" t="str">
        <f>IFERROR(VLOOKUP(E75,Products!A:H,8,FALSE),"")</f>
        <v/>
      </c>
      <c r="J75" t="str">
        <f t="shared" si="1"/>
        <v/>
      </c>
      <c r="K75" t="str">
        <f>IFERROR((H75-VLOOKUP(E75,Products!A:G,7,FALSE))*G75,"")</f>
        <v/>
      </c>
    </row>
    <row r="76" spans="6:11" x14ac:dyDescent="0.25">
      <c r="F76" t="str">
        <f>IFERROR(VLOOKUP(E76,Products!A:B,2,FALSE),"")</f>
        <v/>
      </c>
      <c r="H76" t="str">
        <f>IFERROR(VLOOKUP(E76,Products!A:H,8,FALSE),"")</f>
        <v/>
      </c>
      <c r="J76" t="str">
        <f t="shared" si="1"/>
        <v/>
      </c>
      <c r="K76" t="str">
        <f>IFERROR((H76-VLOOKUP(E76,Products!A:G,7,FALSE))*G76,"")</f>
        <v/>
      </c>
    </row>
    <row r="77" spans="6:11" x14ac:dyDescent="0.25">
      <c r="F77" t="str">
        <f>IFERROR(VLOOKUP(E77,Products!A:B,2,FALSE),"")</f>
        <v/>
      </c>
      <c r="H77" t="str">
        <f>IFERROR(VLOOKUP(E77,Products!A:H,8,FALSE),"")</f>
        <v/>
      </c>
      <c r="J77" t="str">
        <f t="shared" si="1"/>
        <v/>
      </c>
      <c r="K77" t="str">
        <f>IFERROR((H77-VLOOKUP(E77,Products!A:G,7,FALSE))*G77,"")</f>
        <v/>
      </c>
    </row>
    <row r="78" spans="6:11" x14ac:dyDescent="0.25">
      <c r="F78" t="str">
        <f>IFERROR(VLOOKUP(E78,Products!A:B,2,FALSE),"")</f>
        <v/>
      </c>
      <c r="H78" t="str">
        <f>IFERROR(VLOOKUP(E78,Products!A:H,8,FALSE),"")</f>
        <v/>
      </c>
      <c r="J78" t="str">
        <f t="shared" si="1"/>
        <v/>
      </c>
      <c r="K78" t="str">
        <f>IFERROR((H78-VLOOKUP(E78,Products!A:G,7,FALSE))*G78,"")</f>
        <v/>
      </c>
    </row>
    <row r="79" spans="6:11" x14ac:dyDescent="0.25">
      <c r="F79" t="str">
        <f>IFERROR(VLOOKUP(E79,Products!A:B,2,FALSE),"")</f>
        <v/>
      </c>
      <c r="H79" t="str">
        <f>IFERROR(VLOOKUP(E79,Products!A:H,8,FALSE),"")</f>
        <v/>
      </c>
      <c r="J79" t="str">
        <f t="shared" si="1"/>
        <v/>
      </c>
      <c r="K79" t="str">
        <f>IFERROR((H79-VLOOKUP(E79,Products!A:G,7,FALSE))*G79,"")</f>
        <v/>
      </c>
    </row>
    <row r="80" spans="6:11" x14ac:dyDescent="0.25">
      <c r="F80" t="str">
        <f>IFERROR(VLOOKUP(E80,Products!A:B,2,FALSE),"")</f>
        <v/>
      </c>
      <c r="H80" t="str">
        <f>IFERROR(VLOOKUP(E80,Products!A:H,8,FALSE),"")</f>
        <v/>
      </c>
      <c r="J80" t="str">
        <f t="shared" si="1"/>
        <v/>
      </c>
      <c r="K80" t="str">
        <f>IFERROR((H80-VLOOKUP(E80,Products!A:G,7,FALSE))*G80,"")</f>
        <v/>
      </c>
    </row>
    <row r="81" spans="6:11" x14ac:dyDescent="0.25">
      <c r="F81" t="str">
        <f>IFERROR(VLOOKUP(E81,Products!A:B,2,FALSE),"")</f>
        <v/>
      </c>
      <c r="H81" t="str">
        <f>IFERROR(VLOOKUP(E81,Products!A:H,8,FALSE),"")</f>
        <v/>
      </c>
      <c r="J81" t="str">
        <f t="shared" si="1"/>
        <v/>
      </c>
      <c r="K81" t="str">
        <f>IFERROR((H81-VLOOKUP(E81,Products!A:G,7,FALSE))*G81,"")</f>
        <v/>
      </c>
    </row>
    <row r="82" spans="6:11" x14ac:dyDescent="0.25">
      <c r="F82" t="str">
        <f>IFERROR(VLOOKUP(E82,Products!A:B,2,FALSE),"")</f>
        <v/>
      </c>
      <c r="H82" t="str">
        <f>IFERROR(VLOOKUP(E82,Products!A:H,8,FALSE),"")</f>
        <v/>
      </c>
      <c r="J82" t="str">
        <f t="shared" si="1"/>
        <v/>
      </c>
      <c r="K82" t="str">
        <f>IFERROR((H82-VLOOKUP(E82,Products!A:G,7,FALSE))*G82,"")</f>
        <v/>
      </c>
    </row>
    <row r="83" spans="6:11" x14ac:dyDescent="0.25">
      <c r="F83" t="str">
        <f>IFERROR(VLOOKUP(E83,Products!A:B,2,FALSE),"")</f>
        <v/>
      </c>
      <c r="H83" t="str">
        <f>IFERROR(VLOOKUP(E83,Products!A:H,8,FALSE),"")</f>
        <v/>
      </c>
      <c r="J83" t="str">
        <f t="shared" si="1"/>
        <v/>
      </c>
      <c r="K83" t="str">
        <f>IFERROR((H83-VLOOKUP(E83,Products!A:G,7,FALSE))*G83,"")</f>
        <v/>
      </c>
    </row>
    <row r="84" spans="6:11" x14ac:dyDescent="0.25">
      <c r="F84" t="str">
        <f>IFERROR(VLOOKUP(E84,Products!A:B,2,FALSE),"")</f>
        <v/>
      </c>
      <c r="H84" t="str">
        <f>IFERROR(VLOOKUP(E84,Products!A:H,8,FALSE),"")</f>
        <v/>
      </c>
      <c r="J84" t="str">
        <f t="shared" si="1"/>
        <v/>
      </c>
      <c r="K84" t="str">
        <f>IFERROR((H84-VLOOKUP(E84,Products!A:G,7,FALSE))*G84,"")</f>
        <v/>
      </c>
    </row>
    <row r="85" spans="6:11" x14ac:dyDescent="0.25">
      <c r="F85" t="str">
        <f>IFERROR(VLOOKUP(E85,Products!A:B,2,FALSE),"")</f>
        <v/>
      </c>
      <c r="H85" t="str">
        <f>IFERROR(VLOOKUP(E85,Products!A:H,8,FALSE),"")</f>
        <v/>
      </c>
      <c r="J85" t="str">
        <f t="shared" si="1"/>
        <v/>
      </c>
      <c r="K85" t="str">
        <f>IFERROR((H85-VLOOKUP(E85,Products!A:G,7,FALSE))*G85,"")</f>
        <v/>
      </c>
    </row>
    <row r="86" spans="6:11" x14ac:dyDescent="0.25">
      <c r="F86" t="str">
        <f>IFERROR(VLOOKUP(E86,Products!A:B,2,FALSE),"")</f>
        <v/>
      </c>
      <c r="H86" t="str">
        <f>IFERROR(VLOOKUP(E86,Products!A:H,8,FALSE),"")</f>
        <v/>
      </c>
      <c r="J86" t="str">
        <f t="shared" si="1"/>
        <v/>
      </c>
      <c r="K86" t="str">
        <f>IFERROR((H86-VLOOKUP(E86,Products!A:G,7,FALSE))*G86,"")</f>
        <v/>
      </c>
    </row>
    <row r="87" spans="6:11" x14ac:dyDescent="0.25">
      <c r="F87" t="str">
        <f>IFERROR(VLOOKUP(E87,Products!A:B,2,FALSE),"")</f>
        <v/>
      </c>
      <c r="H87" t="str">
        <f>IFERROR(VLOOKUP(E87,Products!A:H,8,FALSE),"")</f>
        <v/>
      </c>
      <c r="J87" t="str">
        <f t="shared" si="1"/>
        <v/>
      </c>
      <c r="K87" t="str">
        <f>IFERROR((H87-VLOOKUP(E87,Products!A:G,7,FALSE))*G87,"")</f>
        <v/>
      </c>
    </row>
    <row r="88" spans="6:11" x14ac:dyDescent="0.25">
      <c r="F88" t="str">
        <f>IFERROR(VLOOKUP(E88,Products!A:B,2,FALSE),"")</f>
        <v/>
      </c>
      <c r="H88" t="str">
        <f>IFERROR(VLOOKUP(E88,Products!A:H,8,FALSE),"")</f>
        <v/>
      </c>
      <c r="J88" t="str">
        <f t="shared" si="1"/>
        <v/>
      </c>
      <c r="K88" t="str">
        <f>IFERROR((H88-VLOOKUP(E88,Products!A:G,7,FALSE))*G88,"")</f>
        <v/>
      </c>
    </row>
    <row r="89" spans="6:11" x14ac:dyDescent="0.25">
      <c r="F89" t="str">
        <f>IFERROR(VLOOKUP(E89,Products!A:B,2,FALSE),"")</f>
        <v/>
      </c>
      <c r="H89" t="str">
        <f>IFERROR(VLOOKUP(E89,Products!A:H,8,FALSE),"")</f>
        <v/>
      </c>
      <c r="J89" t="str">
        <f t="shared" si="1"/>
        <v/>
      </c>
      <c r="K89" t="str">
        <f>IFERROR((H89-VLOOKUP(E89,Products!A:G,7,FALSE))*G89,"")</f>
        <v/>
      </c>
    </row>
    <row r="90" spans="6:11" x14ac:dyDescent="0.25">
      <c r="F90" t="str">
        <f>IFERROR(VLOOKUP(E90,Products!A:B,2,FALSE),"")</f>
        <v/>
      </c>
      <c r="H90" t="str">
        <f>IFERROR(VLOOKUP(E90,Products!A:H,8,FALSE),"")</f>
        <v/>
      </c>
      <c r="J90" t="str">
        <f t="shared" si="1"/>
        <v/>
      </c>
      <c r="K90" t="str">
        <f>IFERROR((H90-VLOOKUP(E90,Products!A:G,7,FALSE))*G90,"")</f>
        <v/>
      </c>
    </row>
    <row r="91" spans="6:11" x14ac:dyDescent="0.25">
      <c r="F91" t="str">
        <f>IFERROR(VLOOKUP(E91,Products!A:B,2,FALSE),"")</f>
        <v/>
      </c>
      <c r="H91" t="str">
        <f>IFERROR(VLOOKUP(E91,Products!A:H,8,FALSE),"")</f>
        <v/>
      </c>
      <c r="J91" t="str">
        <f t="shared" si="1"/>
        <v/>
      </c>
      <c r="K91" t="str">
        <f>IFERROR((H91-VLOOKUP(E91,Products!A:G,7,FALSE))*G91,"")</f>
        <v/>
      </c>
    </row>
    <row r="92" spans="6:11" x14ac:dyDescent="0.25">
      <c r="F92" t="str">
        <f>IFERROR(VLOOKUP(E92,Products!A:B,2,FALSE),"")</f>
        <v/>
      </c>
      <c r="H92" t="str">
        <f>IFERROR(VLOOKUP(E92,Products!A:H,8,FALSE),"")</f>
        <v/>
      </c>
      <c r="J92" t="str">
        <f t="shared" si="1"/>
        <v/>
      </c>
      <c r="K92" t="str">
        <f>IFERROR((H92-VLOOKUP(E92,Products!A:G,7,FALSE))*G92,"")</f>
        <v/>
      </c>
    </row>
    <row r="93" spans="6:11" x14ac:dyDescent="0.25">
      <c r="F93" t="str">
        <f>IFERROR(VLOOKUP(E93,Products!A:B,2,FALSE),"")</f>
        <v/>
      </c>
      <c r="H93" t="str">
        <f>IFERROR(VLOOKUP(E93,Products!A:H,8,FALSE),"")</f>
        <v/>
      </c>
      <c r="J93" t="str">
        <f t="shared" si="1"/>
        <v/>
      </c>
      <c r="K93" t="str">
        <f>IFERROR((H93-VLOOKUP(E93,Products!A:G,7,FALSE))*G93,"")</f>
        <v/>
      </c>
    </row>
    <row r="94" spans="6:11" x14ac:dyDescent="0.25">
      <c r="F94" t="str">
        <f>IFERROR(VLOOKUP(E94,Products!A:B,2,FALSE),"")</f>
        <v/>
      </c>
      <c r="H94" t="str">
        <f>IFERROR(VLOOKUP(E94,Products!A:H,8,FALSE),"")</f>
        <v/>
      </c>
      <c r="J94" t="str">
        <f t="shared" si="1"/>
        <v/>
      </c>
      <c r="K94" t="str">
        <f>IFERROR((H94-VLOOKUP(E94,Products!A:G,7,FALSE))*G94,"")</f>
        <v/>
      </c>
    </row>
    <row r="95" spans="6:11" x14ac:dyDescent="0.25">
      <c r="F95" t="str">
        <f>IFERROR(VLOOKUP(E95,Products!A:B,2,FALSE),"")</f>
        <v/>
      </c>
      <c r="H95" t="str">
        <f>IFERROR(VLOOKUP(E95,Products!A:H,8,FALSE),"")</f>
        <v/>
      </c>
      <c r="J95" t="str">
        <f t="shared" si="1"/>
        <v/>
      </c>
      <c r="K95" t="str">
        <f>IFERROR((H95-VLOOKUP(E95,Products!A:G,7,FALSE))*G95,"")</f>
        <v/>
      </c>
    </row>
    <row r="96" spans="6:11" x14ac:dyDescent="0.25">
      <c r="F96" t="str">
        <f>IFERROR(VLOOKUP(E96,Products!A:B,2,FALSE),"")</f>
        <v/>
      </c>
      <c r="H96" t="str">
        <f>IFERROR(VLOOKUP(E96,Products!A:H,8,FALSE),"")</f>
        <v/>
      </c>
      <c r="J96" t="str">
        <f t="shared" si="1"/>
        <v/>
      </c>
      <c r="K96" t="str">
        <f>IFERROR((H96-VLOOKUP(E96,Products!A:G,7,FALSE))*G96,"")</f>
        <v/>
      </c>
    </row>
    <row r="97" spans="6:11" x14ac:dyDescent="0.25">
      <c r="F97" t="str">
        <f>IFERROR(VLOOKUP(E97,Products!A:B,2,FALSE),"")</f>
        <v/>
      </c>
      <c r="H97" t="str">
        <f>IFERROR(VLOOKUP(E97,Products!A:H,8,FALSE),"")</f>
        <v/>
      </c>
      <c r="J97" t="str">
        <f t="shared" si="1"/>
        <v/>
      </c>
      <c r="K97" t="str">
        <f>IFERROR((H97-VLOOKUP(E97,Products!A:G,7,FALSE))*G97,"")</f>
        <v/>
      </c>
    </row>
    <row r="98" spans="6:11" x14ac:dyDescent="0.25">
      <c r="F98" t="str">
        <f>IFERROR(VLOOKUP(E98,Products!A:B,2,FALSE),"")</f>
        <v/>
      </c>
      <c r="H98" t="str">
        <f>IFERROR(VLOOKUP(E98,Products!A:H,8,FALSE),"")</f>
        <v/>
      </c>
      <c r="J98" t="str">
        <f t="shared" si="1"/>
        <v/>
      </c>
      <c r="K98" t="str">
        <f>IFERROR((H98-VLOOKUP(E98,Products!A:G,7,FALSE))*G98,"")</f>
        <v/>
      </c>
    </row>
    <row r="99" spans="6:11" x14ac:dyDescent="0.25">
      <c r="F99" t="str">
        <f>IFERROR(VLOOKUP(E99,Products!A:B,2,FALSE),"")</f>
        <v/>
      </c>
      <c r="H99" t="str">
        <f>IFERROR(VLOOKUP(E99,Products!A:H,8,FALSE),"")</f>
        <v/>
      </c>
      <c r="J99" t="str">
        <f t="shared" si="1"/>
        <v/>
      </c>
      <c r="K99" t="str">
        <f>IFERROR((H99-VLOOKUP(E99,Products!A:G,7,FALSE))*G99,"")</f>
        <v/>
      </c>
    </row>
    <row r="100" spans="6:11" x14ac:dyDescent="0.25">
      <c r="F100" t="str">
        <f>IFERROR(VLOOKUP(E100,Products!A:B,2,FALSE),"")</f>
        <v/>
      </c>
      <c r="H100" t="str">
        <f>IFERROR(VLOOKUP(E100,Products!A:H,8,FALSE),"")</f>
        <v/>
      </c>
      <c r="J100" t="str">
        <f t="shared" si="1"/>
        <v/>
      </c>
      <c r="K100" t="str">
        <f>IFERROR((H100-VLOOKUP(E100,Products!A:G,7,FALSE))*G100,"")</f>
        <v/>
      </c>
    </row>
    <row r="101" spans="6:11" x14ac:dyDescent="0.25">
      <c r="F101" t="str">
        <f>IFERROR(VLOOKUP(E101,Products!A:B,2,FALSE),"")</f>
        <v/>
      </c>
      <c r="H101" t="str">
        <f>IFERROR(VLOOKUP(E101,Products!A:H,8,FALSE),"")</f>
        <v/>
      </c>
      <c r="J101" t="str">
        <f t="shared" si="1"/>
        <v/>
      </c>
      <c r="K101" t="str">
        <f>IFERROR((H101-VLOOKUP(E101,Products!A:G,7,FALSE))*G101,"")</f>
        <v/>
      </c>
    </row>
    <row r="102" spans="6:11" x14ac:dyDescent="0.25">
      <c r="F102" t="str">
        <f>IFERROR(VLOOKUP(E102,Products!A:B,2,FALSE),"")</f>
        <v/>
      </c>
      <c r="H102" t="str">
        <f>IFERROR(VLOOKUP(E102,Products!A:H,8,FALSE),"")</f>
        <v/>
      </c>
      <c r="J102" t="str">
        <f t="shared" si="1"/>
        <v/>
      </c>
      <c r="K102" t="str">
        <f>IFERROR((H102-VLOOKUP(E102,Products!A:G,7,FALSE))*G102,"")</f>
        <v/>
      </c>
    </row>
    <row r="103" spans="6:11" x14ac:dyDescent="0.25">
      <c r="F103" t="str">
        <f>IFERROR(VLOOKUP(E103,Products!A:B,2,FALSE),"")</f>
        <v/>
      </c>
      <c r="H103" t="str">
        <f>IFERROR(VLOOKUP(E103,Products!A:H,8,FALSE),"")</f>
        <v/>
      </c>
      <c r="J103" t="str">
        <f t="shared" si="1"/>
        <v/>
      </c>
      <c r="K103" t="str">
        <f>IFERROR((H103-VLOOKUP(E103,Products!A:G,7,FALSE))*G103,"")</f>
        <v/>
      </c>
    </row>
    <row r="104" spans="6:11" x14ac:dyDescent="0.25">
      <c r="F104" t="str">
        <f>IFERROR(VLOOKUP(E104,Products!A:B,2,FALSE),"")</f>
        <v/>
      </c>
      <c r="H104" t="str">
        <f>IFERROR(VLOOKUP(E104,Products!A:H,8,FALSE),"")</f>
        <v/>
      </c>
      <c r="J104" t="str">
        <f t="shared" si="1"/>
        <v/>
      </c>
      <c r="K104" t="str">
        <f>IFERROR((H104-VLOOKUP(E104,Products!A:G,7,FALSE))*G104,"")</f>
        <v/>
      </c>
    </row>
    <row r="105" spans="6:11" x14ac:dyDescent="0.25">
      <c r="F105" t="str">
        <f>IFERROR(VLOOKUP(E105,Products!A:B,2,FALSE),"")</f>
        <v/>
      </c>
      <c r="H105" t="str">
        <f>IFERROR(VLOOKUP(E105,Products!A:H,8,FALSE),"")</f>
        <v/>
      </c>
      <c r="J105" t="str">
        <f t="shared" si="1"/>
        <v/>
      </c>
      <c r="K105" t="str">
        <f>IFERROR((H105-VLOOKUP(E105,Products!A:G,7,FALSE))*G105,"")</f>
        <v/>
      </c>
    </row>
    <row r="106" spans="6:11" x14ac:dyDescent="0.25">
      <c r="F106" t="str">
        <f>IFERROR(VLOOKUP(E106,Products!A:B,2,FALSE),"")</f>
        <v/>
      </c>
      <c r="H106" t="str">
        <f>IFERROR(VLOOKUP(E106,Products!A:H,8,FALSE),"")</f>
        <v/>
      </c>
      <c r="J106" t="str">
        <f t="shared" si="1"/>
        <v/>
      </c>
      <c r="K106" t="str">
        <f>IFERROR((H106-VLOOKUP(E106,Products!A:G,7,FALSE))*G106,"")</f>
        <v/>
      </c>
    </row>
    <row r="107" spans="6:11" x14ac:dyDescent="0.25">
      <c r="F107" t="str">
        <f>IFERROR(VLOOKUP(E107,Products!A:B,2,FALSE),"")</f>
        <v/>
      </c>
      <c r="H107" t="str">
        <f>IFERROR(VLOOKUP(E107,Products!A:H,8,FALSE),"")</f>
        <v/>
      </c>
      <c r="J107" t="str">
        <f t="shared" si="1"/>
        <v/>
      </c>
      <c r="K107" t="str">
        <f>IFERROR((H107-VLOOKUP(E107,Products!A:G,7,FALSE))*G107,"")</f>
        <v/>
      </c>
    </row>
    <row r="108" spans="6:11" x14ac:dyDescent="0.25">
      <c r="F108" t="str">
        <f>IFERROR(VLOOKUP(E108,Products!A:B,2,FALSE),"")</f>
        <v/>
      </c>
      <c r="H108" t="str">
        <f>IFERROR(VLOOKUP(E108,Products!A:H,8,FALSE),"")</f>
        <v/>
      </c>
      <c r="J108" t="str">
        <f t="shared" si="1"/>
        <v/>
      </c>
      <c r="K108" t="str">
        <f>IFERROR((H108-VLOOKUP(E108,Products!A:G,7,FALSE))*G108,"")</f>
        <v/>
      </c>
    </row>
    <row r="109" spans="6:11" x14ac:dyDescent="0.25">
      <c r="F109" t="str">
        <f>IFERROR(VLOOKUP(E109,Products!A:B,2,FALSE),"")</f>
        <v/>
      </c>
      <c r="H109" t="str">
        <f>IFERROR(VLOOKUP(E109,Products!A:H,8,FALSE),"")</f>
        <v/>
      </c>
      <c r="J109" t="str">
        <f t="shared" si="1"/>
        <v/>
      </c>
      <c r="K109" t="str">
        <f>IFERROR((H109-VLOOKUP(E109,Products!A:G,7,FALSE))*G109,"")</f>
        <v/>
      </c>
    </row>
    <row r="110" spans="6:11" x14ac:dyDescent="0.25">
      <c r="F110" t="str">
        <f>IFERROR(VLOOKUP(E110,Products!A:B,2,FALSE),"")</f>
        <v/>
      </c>
      <c r="H110" t="str">
        <f>IFERROR(VLOOKUP(E110,Products!A:H,8,FALSE),"")</f>
        <v/>
      </c>
      <c r="J110" t="str">
        <f t="shared" si="1"/>
        <v/>
      </c>
      <c r="K110" t="str">
        <f>IFERROR((H110-VLOOKUP(E110,Products!A:G,7,FALSE))*G110,"")</f>
        <v/>
      </c>
    </row>
    <row r="111" spans="6:11" x14ac:dyDescent="0.25">
      <c r="F111" t="str">
        <f>IFERROR(VLOOKUP(E111,Products!A:B,2,FALSE),"")</f>
        <v/>
      </c>
      <c r="H111" t="str">
        <f>IFERROR(VLOOKUP(E111,Products!A:H,8,FALSE),"")</f>
        <v/>
      </c>
      <c r="J111" t="str">
        <f t="shared" si="1"/>
        <v/>
      </c>
      <c r="K111" t="str">
        <f>IFERROR((H111-VLOOKUP(E111,Products!A:G,7,FALSE))*G111,"")</f>
        <v/>
      </c>
    </row>
    <row r="112" spans="6:11" x14ac:dyDescent="0.25">
      <c r="F112" t="str">
        <f>IFERROR(VLOOKUP(E112,Products!A:B,2,FALSE),"")</f>
        <v/>
      </c>
      <c r="H112" t="str">
        <f>IFERROR(VLOOKUP(E112,Products!A:H,8,FALSE),"")</f>
        <v/>
      </c>
      <c r="J112" t="str">
        <f t="shared" si="1"/>
        <v/>
      </c>
      <c r="K112" t="str">
        <f>IFERROR((H112-VLOOKUP(E112,Products!A:G,7,FALSE))*G112,"")</f>
        <v/>
      </c>
    </row>
    <row r="113" spans="6:11" x14ac:dyDescent="0.25">
      <c r="F113" t="str">
        <f>IFERROR(VLOOKUP(E113,Products!A:B,2,FALSE),"")</f>
        <v/>
      </c>
      <c r="H113" t="str">
        <f>IFERROR(VLOOKUP(E113,Products!A:H,8,FALSE),"")</f>
        <v/>
      </c>
      <c r="J113" t="str">
        <f t="shared" si="1"/>
        <v/>
      </c>
      <c r="K113" t="str">
        <f>IFERROR((H113-VLOOKUP(E113,Products!A:G,7,FALSE))*G113,"")</f>
        <v/>
      </c>
    </row>
    <row r="114" spans="6:11" x14ac:dyDescent="0.25">
      <c r="F114" t="str">
        <f>IFERROR(VLOOKUP(E114,Products!A:B,2,FALSE),"")</f>
        <v/>
      </c>
      <c r="H114" t="str">
        <f>IFERROR(VLOOKUP(E114,Products!A:H,8,FALSE),"")</f>
        <v/>
      </c>
      <c r="J114" t="str">
        <f t="shared" si="1"/>
        <v/>
      </c>
      <c r="K114" t="str">
        <f>IFERROR((H114-VLOOKUP(E114,Products!A:G,7,FALSE))*G114,"")</f>
        <v/>
      </c>
    </row>
    <row r="115" spans="6:11" x14ac:dyDescent="0.25">
      <c r="F115" t="str">
        <f>IFERROR(VLOOKUP(E115,Products!A:B,2,FALSE),"")</f>
        <v/>
      </c>
      <c r="H115" t="str">
        <f>IFERROR(VLOOKUP(E115,Products!A:H,8,FALSE),"")</f>
        <v/>
      </c>
      <c r="J115" t="str">
        <f t="shared" si="1"/>
        <v/>
      </c>
      <c r="K115" t="str">
        <f>IFERROR((H115-VLOOKUP(E115,Products!A:G,7,FALSE))*G115,"")</f>
        <v/>
      </c>
    </row>
    <row r="116" spans="6:11" x14ac:dyDescent="0.25">
      <c r="F116" t="str">
        <f>IFERROR(VLOOKUP(E116,Products!A:B,2,FALSE),"")</f>
        <v/>
      </c>
      <c r="H116" t="str">
        <f>IFERROR(VLOOKUP(E116,Products!A:H,8,FALSE),"")</f>
        <v/>
      </c>
      <c r="J116" t="str">
        <f t="shared" si="1"/>
        <v/>
      </c>
      <c r="K116" t="str">
        <f>IFERROR((H116-VLOOKUP(E116,Products!A:G,7,FALSE))*G116,"")</f>
        <v/>
      </c>
    </row>
    <row r="117" spans="6:11" x14ac:dyDescent="0.25">
      <c r="F117" t="str">
        <f>IFERROR(VLOOKUP(E117,Products!A:B,2,FALSE),"")</f>
        <v/>
      </c>
      <c r="H117" t="str">
        <f>IFERROR(VLOOKUP(E117,Products!A:H,8,FALSE),"")</f>
        <v/>
      </c>
      <c r="J117" t="str">
        <f t="shared" si="1"/>
        <v/>
      </c>
      <c r="K117" t="str">
        <f>IFERROR((H117-VLOOKUP(E117,Products!A:G,7,FALSE))*G117,"")</f>
        <v/>
      </c>
    </row>
    <row r="118" spans="6:11" x14ac:dyDescent="0.25">
      <c r="F118" t="str">
        <f>IFERROR(VLOOKUP(E118,Products!A:B,2,FALSE),"")</f>
        <v/>
      </c>
      <c r="H118" t="str">
        <f>IFERROR(VLOOKUP(E118,Products!A:H,8,FALSE),"")</f>
        <v/>
      </c>
      <c r="J118" t="str">
        <f t="shared" si="1"/>
        <v/>
      </c>
      <c r="K118" t="str">
        <f>IFERROR((H118-VLOOKUP(E118,Products!A:G,7,FALSE))*G118,"")</f>
        <v/>
      </c>
    </row>
    <row r="119" spans="6:11" x14ac:dyDescent="0.25">
      <c r="F119" t="str">
        <f>IFERROR(VLOOKUP(E119,Products!A:B,2,FALSE),"")</f>
        <v/>
      </c>
      <c r="H119" t="str">
        <f>IFERROR(VLOOKUP(E119,Products!A:H,8,FALSE),"")</f>
        <v/>
      </c>
      <c r="J119" t="str">
        <f t="shared" si="1"/>
        <v/>
      </c>
      <c r="K119" t="str">
        <f>IFERROR((H119-VLOOKUP(E119,Products!A:G,7,FALSE))*G119,"")</f>
        <v/>
      </c>
    </row>
    <row r="120" spans="6:11" x14ac:dyDescent="0.25">
      <c r="F120" t="str">
        <f>IFERROR(VLOOKUP(E120,Products!A:B,2,FALSE),"")</f>
        <v/>
      </c>
      <c r="H120" t="str">
        <f>IFERROR(VLOOKUP(E120,Products!A:H,8,FALSE),"")</f>
        <v/>
      </c>
      <c r="J120" t="str">
        <f t="shared" si="1"/>
        <v/>
      </c>
      <c r="K120" t="str">
        <f>IFERROR((H120-VLOOKUP(E120,Products!A:G,7,FALSE))*G120,"")</f>
        <v/>
      </c>
    </row>
    <row r="121" spans="6:11" x14ac:dyDescent="0.25">
      <c r="F121" t="str">
        <f>IFERROR(VLOOKUP(E121,Products!A:B,2,FALSE),"")</f>
        <v/>
      </c>
      <c r="H121" t="str">
        <f>IFERROR(VLOOKUP(E121,Products!A:H,8,FALSE),"")</f>
        <v/>
      </c>
      <c r="J121" t="str">
        <f t="shared" si="1"/>
        <v/>
      </c>
      <c r="K121" t="str">
        <f>IFERROR((H121-VLOOKUP(E121,Products!A:G,7,FALSE))*G121,"")</f>
        <v/>
      </c>
    </row>
    <row r="122" spans="6:11" x14ac:dyDescent="0.25">
      <c r="F122" t="str">
        <f>IFERROR(VLOOKUP(E122,Products!A:B,2,FALSE),"")</f>
        <v/>
      </c>
      <c r="H122" t="str">
        <f>IFERROR(VLOOKUP(E122,Products!A:H,8,FALSE),"")</f>
        <v/>
      </c>
      <c r="J122" t="str">
        <f t="shared" si="1"/>
        <v/>
      </c>
      <c r="K122" t="str">
        <f>IFERROR((H122-VLOOKUP(E122,Products!A:G,7,FALSE))*G122,"")</f>
        <v/>
      </c>
    </row>
    <row r="123" spans="6:11" x14ac:dyDescent="0.25">
      <c r="F123" t="str">
        <f>IFERROR(VLOOKUP(E123,Products!A:B,2,FALSE),"")</f>
        <v/>
      </c>
      <c r="H123" t="str">
        <f>IFERROR(VLOOKUP(E123,Products!A:H,8,FALSE),"")</f>
        <v/>
      </c>
      <c r="J123" t="str">
        <f t="shared" si="1"/>
        <v/>
      </c>
      <c r="K123" t="str">
        <f>IFERROR((H123-VLOOKUP(E123,Products!A:G,7,FALSE))*G123,"")</f>
        <v/>
      </c>
    </row>
    <row r="124" spans="6:11" x14ac:dyDescent="0.25">
      <c r="F124" t="str">
        <f>IFERROR(VLOOKUP(E124,Products!A:B,2,FALSE),"")</f>
        <v/>
      </c>
      <c r="H124" t="str">
        <f>IFERROR(VLOOKUP(E124,Products!A:H,8,FALSE),"")</f>
        <v/>
      </c>
      <c r="J124" t="str">
        <f t="shared" si="1"/>
        <v/>
      </c>
      <c r="K124" t="str">
        <f>IFERROR((H124-VLOOKUP(E124,Products!A:G,7,FALSE))*G124,"")</f>
        <v/>
      </c>
    </row>
    <row r="125" spans="6:11" x14ac:dyDescent="0.25">
      <c r="F125" t="str">
        <f>IFERROR(VLOOKUP(E125,Products!A:B,2,FALSE),"")</f>
        <v/>
      </c>
      <c r="H125" t="str">
        <f>IFERROR(VLOOKUP(E125,Products!A:H,8,FALSE),"")</f>
        <v/>
      </c>
      <c r="J125" t="str">
        <f t="shared" si="1"/>
        <v/>
      </c>
      <c r="K125" t="str">
        <f>IFERROR((H125-VLOOKUP(E125,Products!A:G,7,FALSE))*G125,"")</f>
        <v/>
      </c>
    </row>
    <row r="126" spans="6:11" x14ac:dyDescent="0.25">
      <c r="F126" t="str">
        <f>IFERROR(VLOOKUP(E126,Products!A:B,2,FALSE),"")</f>
        <v/>
      </c>
      <c r="H126" t="str">
        <f>IFERROR(VLOOKUP(E126,Products!A:H,8,FALSE),"")</f>
        <v/>
      </c>
      <c r="J126" t="str">
        <f t="shared" si="1"/>
        <v/>
      </c>
      <c r="K126" t="str">
        <f>IFERROR((H126-VLOOKUP(E126,Products!A:G,7,FALSE))*G126,"")</f>
        <v/>
      </c>
    </row>
    <row r="127" spans="6:11" x14ac:dyDescent="0.25">
      <c r="F127" t="str">
        <f>IFERROR(VLOOKUP(E127,Products!A:B,2,FALSE),"")</f>
        <v/>
      </c>
      <c r="H127" t="str">
        <f>IFERROR(VLOOKUP(E127,Products!A:H,8,FALSE),"")</f>
        <v/>
      </c>
      <c r="J127" t="str">
        <f t="shared" si="1"/>
        <v/>
      </c>
      <c r="K127" t="str">
        <f>IFERROR((H127-VLOOKUP(E127,Products!A:G,7,FALSE))*G127,"")</f>
        <v/>
      </c>
    </row>
    <row r="128" spans="6:11" x14ac:dyDescent="0.25">
      <c r="F128" t="str">
        <f>IFERROR(VLOOKUP(E128,Products!A:B,2,FALSE),"")</f>
        <v/>
      </c>
      <c r="H128" t="str">
        <f>IFERROR(VLOOKUP(E128,Products!A:H,8,FALSE),"")</f>
        <v/>
      </c>
      <c r="J128" t="str">
        <f t="shared" si="1"/>
        <v/>
      </c>
      <c r="K128" t="str">
        <f>IFERROR((H128-VLOOKUP(E128,Products!A:G,7,FALSE))*G128,"")</f>
        <v/>
      </c>
    </row>
    <row r="129" spans="6:11" x14ac:dyDescent="0.25">
      <c r="F129" t="str">
        <f>IFERROR(VLOOKUP(E129,Products!A:B,2,FALSE),"")</f>
        <v/>
      </c>
      <c r="H129" t="str">
        <f>IFERROR(VLOOKUP(E129,Products!A:H,8,FALSE),"")</f>
        <v/>
      </c>
      <c r="J129" t="str">
        <f t="shared" si="1"/>
        <v/>
      </c>
      <c r="K129" t="str">
        <f>IFERROR((H129-VLOOKUP(E129,Products!A:G,7,FALSE))*G129,"")</f>
        <v/>
      </c>
    </row>
    <row r="130" spans="6:11" x14ac:dyDescent="0.25">
      <c r="F130" t="str">
        <f>IFERROR(VLOOKUP(E130,Products!A:B,2,FALSE),"")</f>
        <v/>
      </c>
      <c r="H130" t="str">
        <f>IFERROR(VLOOKUP(E130,Products!A:H,8,FALSE),"")</f>
        <v/>
      </c>
      <c r="J130" t="str">
        <f t="shared" si="1"/>
        <v/>
      </c>
      <c r="K130" t="str">
        <f>IFERROR((H130-VLOOKUP(E130,Products!A:G,7,FALSE))*G130,"")</f>
        <v/>
      </c>
    </row>
    <row r="131" spans="6:11" x14ac:dyDescent="0.25">
      <c r="F131" t="str">
        <f>IFERROR(VLOOKUP(E131,Products!A:B,2,FALSE),"")</f>
        <v/>
      </c>
      <c r="H131" t="str">
        <f>IFERROR(VLOOKUP(E131,Products!A:H,8,FALSE),"")</f>
        <v/>
      </c>
      <c r="J131" t="str">
        <f t="shared" ref="J131:J194" si="2">IFERROR((G131*H131-I131),"")</f>
        <v/>
      </c>
      <c r="K131" t="str">
        <f>IFERROR((H131-VLOOKUP(E131,Products!A:G,7,FALSE))*G131,"")</f>
        <v/>
      </c>
    </row>
    <row r="132" spans="6:11" x14ac:dyDescent="0.25">
      <c r="F132" t="str">
        <f>IFERROR(VLOOKUP(E132,Products!A:B,2,FALSE),"")</f>
        <v/>
      </c>
      <c r="H132" t="str">
        <f>IFERROR(VLOOKUP(E132,Products!A:H,8,FALSE),"")</f>
        <v/>
      </c>
      <c r="J132" t="str">
        <f t="shared" si="2"/>
        <v/>
      </c>
      <c r="K132" t="str">
        <f>IFERROR((H132-VLOOKUP(E132,Products!A:G,7,FALSE))*G132,"")</f>
        <v/>
      </c>
    </row>
    <row r="133" spans="6:11" x14ac:dyDescent="0.25">
      <c r="F133" t="str">
        <f>IFERROR(VLOOKUP(E133,Products!A:B,2,FALSE),"")</f>
        <v/>
      </c>
      <c r="H133" t="str">
        <f>IFERROR(VLOOKUP(E133,Products!A:H,8,FALSE),"")</f>
        <v/>
      </c>
      <c r="J133" t="str">
        <f t="shared" si="2"/>
        <v/>
      </c>
      <c r="K133" t="str">
        <f>IFERROR((H133-VLOOKUP(E133,Products!A:G,7,FALSE))*G133,"")</f>
        <v/>
      </c>
    </row>
    <row r="134" spans="6:11" x14ac:dyDescent="0.25">
      <c r="F134" t="str">
        <f>IFERROR(VLOOKUP(E134,Products!A:B,2,FALSE),"")</f>
        <v/>
      </c>
      <c r="H134" t="str">
        <f>IFERROR(VLOOKUP(E134,Products!A:H,8,FALSE),"")</f>
        <v/>
      </c>
      <c r="J134" t="str">
        <f t="shared" si="2"/>
        <v/>
      </c>
      <c r="K134" t="str">
        <f>IFERROR((H134-VLOOKUP(E134,Products!A:G,7,FALSE))*G134,"")</f>
        <v/>
      </c>
    </row>
    <row r="135" spans="6:11" x14ac:dyDescent="0.25">
      <c r="F135" t="str">
        <f>IFERROR(VLOOKUP(E135,Products!A:B,2,FALSE),"")</f>
        <v/>
      </c>
      <c r="H135" t="str">
        <f>IFERROR(VLOOKUP(E135,Products!A:H,8,FALSE),"")</f>
        <v/>
      </c>
      <c r="J135" t="str">
        <f t="shared" si="2"/>
        <v/>
      </c>
      <c r="K135" t="str">
        <f>IFERROR((H135-VLOOKUP(E135,Products!A:G,7,FALSE))*G135,"")</f>
        <v/>
      </c>
    </row>
    <row r="136" spans="6:11" x14ac:dyDescent="0.25">
      <c r="F136" t="str">
        <f>IFERROR(VLOOKUP(E136,Products!A:B,2,FALSE),"")</f>
        <v/>
      </c>
      <c r="H136" t="str">
        <f>IFERROR(VLOOKUP(E136,Products!A:H,8,FALSE),"")</f>
        <v/>
      </c>
      <c r="J136" t="str">
        <f t="shared" si="2"/>
        <v/>
      </c>
      <c r="K136" t="str">
        <f>IFERROR((H136-VLOOKUP(E136,Products!A:G,7,FALSE))*G136,"")</f>
        <v/>
      </c>
    </row>
    <row r="137" spans="6:11" x14ac:dyDescent="0.25">
      <c r="F137" t="str">
        <f>IFERROR(VLOOKUP(E137,Products!A:B,2,FALSE),"")</f>
        <v/>
      </c>
      <c r="H137" t="str">
        <f>IFERROR(VLOOKUP(E137,Products!A:H,8,FALSE),"")</f>
        <v/>
      </c>
      <c r="J137" t="str">
        <f t="shared" si="2"/>
        <v/>
      </c>
      <c r="K137" t="str">
        <f>IFERROR((H137-VLOOKUP(E137,Products!A:G,7,FALSE))*G137,"")</f>
        <v/>
      </c>
    </row>
    <row r="138" spans="6:11" x14ac:dyDescent="0.25">
      <c r="F138" t="str">
        <f>IFERROR(VLOOKUP(E138,Products!A:B,2,FALSE),"")</f>
        <v/>
      </c>
      <c r="H138" t="str">
        <f>IFERROR(VLOOKUP(E138,Products!A:H,8,FALSE),"")</f>
        <v/>
      </c>
      <c r="J138" t="str">
        <f t="shared" si="2"/>
        <v/>
      </c>
      <c r="K138" t="str">
        <f>IFERROR((H138-VLOOKUP(E138,Products!A:G,7,FALSE))*G138,"")</f>
        <v/>
      </c>
    </row>
    <row r="139" spans="6:11" x14ac:dyDescent="0.25">
      <c r="F139" t="str">
        <f>IFERROR(VLOOKUP(E139,Products!A:B,2,FALSE),"")</f>
        <v/>
      </c>
      <c r="H139" t="str">
        <f>IFERROR(VLOOKUP(E139,Products!A:H,8,FALSE),"")</f>
        <v/>
      </c>
      <c r="J139" t="str">
        <f t="shared" si="2"/>
        <v/>
      </c>
      <c r="K139" t="str">
        <f>IFERROR((H139-VLOOKUP(E139,Products!A:G,7,FALSE))*G139,"")</f>
        <v/>
      </c>
    </row>
    <row r="140" spans="6:11" x14ac:dyDescent="0.25">
      <c r="F140" t="str">
        <f>IFERROR(VLOOKUP(E140,Products!A:B,2,FALSE),"")</f>
        <v/>
      </c>
      <c r="H140" t="str">
        <f>IFERROR(VLOOKUP(E140,Products!A:H,8,FALSE),"")</f>
        <v/>
      </c>
      <c r="J140" t="str">
        <f t="shared" si="2"/>
        <v/>
      </c>
      <c r="K140" t="str">
        <f>IFERROR((H140-VLOOKUP(E140,Products!A:G,7,FALSE))*G140,"")</f>
        <v/>
      </c>
    </row>
    <row r="141" spans="6:11" x14ac:dyDescent="0.25">
      <c r="F141" t="str">
        <f>IFERROR(VLOOKUP(E141,Products!A:B,2,FALSE),"")</f>
        <v/>
      </c>
      <c r="H141" t="str">
        <f>IFERROR(VLOOKUP(E141,Products!A:H,8,FALSE),"")</f>
        <v/>
      </c>
      <c r="J141" t="str">
        <f t="shared" si="2"/>
        <v/>
      </c>
      <c r="K141" t="str">
        <f>IFERROR((H141-VLOOKUP(E141,Products!A:G,7,FALSE))*G141,"")</f>
        <v/>
      </c>
    </row>
    <row r="142" spans="6:11" x14ac:dyDescent="0.25">
      <c r="F142" t="str">
        <f>IFERROR(VLOOKUP(E142,Products!A:B,2,FALSE),"")</f>
        <v/>
      </c>
      <c r="H142" t="str">
        <f>IFERROR(VLOOKUP(E142,Products!A:H,8,FALSE),"")</f>
        <v/>
      </c>
      <c r="J142" t="str">
        <f t="shared" si="2"/>
        <v/>
      </c>
      <c r="K142" t="str">
        <f>IFERROR((H142-VLOOKUP(E142,Products!A:G,7,FALSE))*G142,"")</f>
        <v/>
      </c>
    </row>
    <row r="143" spans="6:11" x14ac:dyDescent="0.25">
      <c r="F143" t="str">
        <f>IFERROR(VLOOKUP(E143,Products!A:B,2,FALSE),"")</f>
        <v/>
      </c>
      <c r="H143" t="str">
        <f>IFERROR(VLOOKUP(E143,Products!A:H,8,FALSE),"")</f>
        <v/>
      </c>
      <c r="J143" t="str">
        <f t="shared" si="2"/>
        <v/>
      </c>
      <c r="K143" t="str">
        <f>IFERROR((H143-VLOOKUP(E143,Products!A:G,7,FALSE))*G143,"")</f>
        <v/>
      </c>
    </row>
    <row r="144" spans="6:11" x14ac:dyDescent="0.25">
      <c r="F144" t="str">
        <f>IFERROR(VLOOKUP(E144,Products!A:B,2,FALSE),"")</f>
        <v/>
      </c>
      <c r="H144" t="str">
        <f>IFERROR(VLOOKUP(E144,Products!A:H,8,FALSE),"")</f>
        <v/>
      </c>
      <c r="J144" t="str">
        <f t="shared" si="2"/>
        <v/>
      </c>
      <c r="K144" t="str">
        <f>IFERROR((H144-VLOOKUP(E144,Products!A:G,7,FALSE))*G144,"")</f>
        <v/>
      </c>
    </row>
    <row r="145" spans="6:11" x14ac:dyDescent="0.25">
      <c r="F145" t="str">
        <f>IFERROR(VLOOKUP(E145,Products!A:B,2,FALSE),"")</f>
        <v/>
      </c>
      <c r="H145" t="str">
        <f>IFERROR(VLOOKUP(E145,Products!A:H,8,FALSE),"")</f>
        <v/>
      </c>
      <c r="J145" t="str">
        <f t="shared" si="2"/>
        <v/>
      </c>
      <c r="K145" t="str">
        <f>IFERROR((H145-VLOOKUP(E145,Products!A:G,7,FALSE))*G145,"")</f>
        <v/>
      </c>
    </row>
    <row r="146" spans="6:11" x14ac:dyDescent="0.25">
      <c r="F146" t="str">
        <f>IFERROR(VLOOKUP(E146,Products!A:B,2,FALSE),"")</f>
        <v/>
      </c>
      <c r="H146" t="str">
        <f>IFERROR(VLOOKUP(E146,Products!A:H,8,FALSE),"")</f>
        <v/>
      </c>
      <c r="J146" t="str">
        <f t="shared" si="2"/>
        <v/>
      </c>
      <c r="K146" t="str">
        <f>IFERROR((H146-VLOOKUP(E146,Products!A:G,7,FALSE))*G146,"")</f>
        <v/>
      </c>
    </row>
    <row r="147" spans="6:11" x14ac:dyDescent="0.25">
      <c r="F147" t="str">
        <f>IFERROR(VLOOKUP(E147,Products!A:B,2,FALSE),"")</f>
        <v/>
      </c>
      <c r="H147" t="str">
        <f>IFERROR(VLOOKUP(E147,Products!A:H,8,FALSE),"")</f>
        <v/>
      </c>
      <c r="J147" t="str">
        <f t="shared" si="2"/>
        <v/>
      </c>
      <c r="K147" t="str">
        <f>IFERROR((H147-VLOOKUP(E147,Products!A:G,7,FALSE))*G147,"")</f>
        <v/>
      </c>
    </row>
    <row r="148" spans="6:11" x14ac:dyDescent="0.25">
      <c r="F148" t="str">
        <f>IFERROR(VLOOKUP(E148,Products!A:B,2,FALSE),"")</f>
        <v/>
      </c>
      <c r="H148" t="str">
        <f>IFERROR(VLOOKUP(E148,Products!A:H,8,FALSE),"")</f>
        <v/>
      </c>
      <c r="J148" t="str">
        <f t="shared" si="2"/>
        <v/>
      </c>
      <c r="K148" t="str">
        <f>IFERROR((H148-VLOOKUP(E148,Products!A:G,7,FALSE))*G148,"")</f>
        <v/>
      </c>
    </row>
    <row r="149" spans="6:11" x14ac:dyDescent="0.25">
      <c r="F149" t="str">
        <f>IFERROR(VLOOKUP(E149,Products!A:B,2,FALSE),"")</f>
        <v/>
      </c>
      <c r="H149" t="str">
        <f>IFERROR(VLOOKUP(E149,Products!A:H,8,FALSE),"")</f>
        <v/>
      </c>
      <c r="J149" t="str">
        <f t="shared" si="2"/>
        <v/>
      </c>
      <c r="K149" t="str">
        <f>IFERROR((H149-VLOOKUP(E149,Products!A:G,7,FALSE))*G149,"")</f>
        <v/>
      </c>
    </row>
    <row r="150" spans="6:11" x14ac:dyDescent="0.25">
      <c r="F150" t="str">
        <f>IFERROR(VLOOKUP(E150,Products!A:B,2,FALSE),"")</f>
        <v/>
      </c>
      <c r="H150" t="str">
        <f>IFERROR(VLOOKUP(E150,Products!A:H,8,FALSE),"")</f>
        <v/>
      </c>
      <c r="J150" t="str">
        <f t="shared" si="2"/>
        <v/>
      </c>
      <c r="K150" t="str">
        <f>IFERROR((H150-VLOOKUP(E150,Products!A:G,7,FALSE))*G150,"")</f>
        <v/>
      </c>
    </row>
    <row r="151" spans="6:11" x14ac:dyDescent="0.25">
      <c r="F151" t="str">
        <f>IFERROR(VLOOKUP(E151,Products!A:B,2,FALSE),"")</f>
        <v/>
      </c>
      <c r="H151" t="str">
        <f>IFERROR(VLOOKUP(E151,Products!A:H,8,FALSE),"")</f>
        <v/>
      </c>
      <c r="J151" t="str">
        <f t="shared" si="2"/>
        <v/>
      </c>
      <c r="K151" t="str">
        <f>IFERROR((H151-VLOOKUP(E151,Products!A:G,7,FALSE))*G151,"")</f>
        <v/>
      </c>
    </row>
    <row r="152" spans="6:11" x14ac:dyDescent="0.25">
      <c r="F152" t="str">
        <f>IFERROR(VLOOKUP(E152,Products!A:B,2,FALSE),"")</f>
        <v/>
      </c>
      <c r="H152" t="str">
        <f>IFERROR(VLOOKUP(E152,Products!A:H,8,FALSE),"")</f>
        <v/>
      </c>
      <c r="J152" t="str">
        <f t="shared" si="2"/>
        <v/>
      </c>
      <c r="K152" t="str">
        <f>IFERROR((H152-VLOOKUP(E152,Products!A:G,7,FALSE))*G152,"")</f>
        <v/>
      </c>
    </row>
    <row r="153" spans="6:11" x14ac:dyDescent="0.25">
      <c r="F153" t="str">
        <f>IFERROR(VLOOKUP(E153,Products!A:B,2,FALSE),"")</f>
        <v/>
      </c>
      <c r="H153" t="str">
        <f>IFERROR(VLOOKUP(E153,Products!A:H,8,FALSE),"")</f>
        <v/>
      </c>
      <c r="J153" t="str">
        <f t="shared" si="2"/>
        <v/>
      </c>
      <c r="K153" t="str">
        <f>IFERROR((H153-VLOOKUP(E153,Products!A:G,7,FALSE))*G153,"")</f>
        <v/>
      </c>
    </row>
    <row r="154" spans="6:11" x14ac:dyDescent="0.25">
      <c r="F154" t="str">
        <f>IFERROR(VLOOKUP(E154,Products!A:B,2,FALSE),"")</f>
        <v/>
      </c>
      <c r="H154" t="str">
        <f>IFERROR(VLOOKUP(E154,Products!A:H,8,FALSE),"")</f>
        <v/>
      </c>
      <c r="J154" t="str">
        <f t="shared" si="2"/>
        <v/>
      </c>
      <c r="K154" t="str">
        <f>IFERROR((H154-VLOOKUP(E154,Products!A:G,7,FALSE))*G154,"")</f>
        <v/>
      </c>
    </row>
    <row r="155" spans="6:11" x14ac:dyDescent="0.25">
      <c r="F155" t="str">
        <f>IFERROR(VLOOKUP(E155,Products!A:B,2,FALSE),"")</f>
        <v/>
      </c>
      <c r="H155" t="str">
        <f>IFERROR(VLOOKUP(E155,Products!A:H,8,FALSE),"")</f>
        <v/>
      </c>
      <c r="J155" t="str">
        <f t="shared" si="2"/>
        <v/>
      </c>
      <c r="K155" t="str">
        <f>IFERROR((H155-VLOOKUP(E155,Products!A:G,7,FALSE))*G155,"")</f>
        <v/>
      </c>
    </row>
    <row r="156" spans="6:11" x14ac:dyDescent="0.25">
      <c r="F156" t="str">
        <f>IFERROR(VLOOKUP(E156,Products!A:B,2,FALSE),"")</f>
        <v/>
      </c>
      <c r="H156" t="str">
        <f>IFERROR(VLOOKUP(E156,Products!A:H,8,FALSE),"")</f>
        <v/>
      </c>
      <c r="J156" t="str">
        <f t="shared" si="2"/>
        <v/>
      </c>
      <c r="K156" t="str">
        <f>IFERROR((H156-VLOOKUP(E156,Products!A:G,7,FALSE))*G156,"")</f>
        <v/>
      </c>
    </row>
    <row r="157" spans="6:11" x14ac:dyDescent="0.25">
      <c r="F157" t="str">
        <f>IFERROR(VLOOKUP(E157,Products!A:B,2,FALSE),"")</f>
        <v/>
      </c>
      <c r="H157" t="str">
        <f>IFERROR(VLOOKUP(E157,Products!A:H,8,FALSE),"")</f>
        <v/>
      </c>
      <c r="J157" t="str">
        <f t="shared" si="2"/>
        <v/>
      </c>
      <c r="K157" t="str">
        <f>IFERROR((H157-VLOOKUP(E157,Products!A:G,7,FALSE))*G157,"")</f>
        <v/>
      </c>
    </row>
    <row r="158" spans="6:11" x14ac:dyDescent="0.25">
      <c r="F158" t="str">
        <f>IFERROR(VLOOKUP(E158,Products!A:B,2,FALSE),"")</f>
        <v/>
      </c>
      <c r="H158" t="str">
        <f>IFERROR(VLOOKUP(E158,Products!A:H,8,FALSE),"")</f>
        <v/>
      </c>
      <c r="J158" t="str">
        <f t="shared" si="2"/>
        <v/>
      </c>
      <c r="K158" t="str">
        <f>IFERROR((H158-VLOOKUP(E158,Products!A:G,7,FALSE))*G158,"")</f>
        <v/>
      </c>
    </row>
    <row r="159" spans="6:11" x14ac:dyDescent="0.25">
      <c r="F159" t="str">
        <f>IFERROR(VLOOKUP(E159,Products!A:B,2,FALSE),"")</f>
        <v/>
      </c>
      <c r="H159" t="str">
        <f>IFERROR(VLOOKUP(E159,Products!A:H,8,FALSE),"")</f>
        <v/>
      </c>
      <c r="J159" t="str">
        <f t="shared" si="2"/>
        <v/>
      </c>
      <c r="K159" t="str">
        <f>IFERROR((H159-VLOOKUP(E159,Products!A:G,7,FALSE))*G159,"")</f>
        <v/>
      </c>
    </row>
    <row r="160" spans="6:11" x14ac:dyDescent="0.25">
      <c r="F160" t="str">
        <f>IFERROR(VLOOKUP(E160,Products!A:B,2,FALSE),"")</f>
        <v/>
      </c>
      <c r="H160" t="str">
        <f>IFERROR(VLOOKUP(E160,Products!A:H,8,FALSE),"")</f>
        <v/>
      </c>
      <c r="J160" t="str">
        <f t="shared" si="2"/>
        <v/>
      </c>
      <c r="K160" t="str">
        <f>IFERROR((H160-VLOOKUP(E160,Products!A:G,7,FALSE))*G160,"")</f>
        <v/>
      </c>
    </row>
    <row r="161" spans="6:11" x14ac:dyDescent="0.25">
      <c r="F161" t="str">
        <f>IFERROR(VLOOKUP(E161,Products!A:B,2,FALSE),"")</f>
        <v/>
      </c>
      <c r="H161" t="str">
        <f>IFERROR(VLOOKUP(E161,Products!A:H,8,FALSE),"")</f>
        <v/>
      </c>
      <c r="J161" t="str">
        <f t="shared" si="2"/>
        <v/>
      </c>
      <c r="K161" t="str">
        <f>IFERROR((H161-VLOOKUP(E161,Products!A:G,7,FALSE))*G161,"")</f>
        <v/>
      </c>
    </row>
    <row r="162" spans="6:11" x14ac:dyDescent="0.25">
      <c r="F162" t="str">
        <f>IFERROR(VLOOKUP(E162,Products!A:B,2,FALSE),"")</f>
        <v/>
      </c>
      <c r="H162" t="str">
        <f>IFERROR(VLOOKUP(E162,Products!A:H,8,FALSE),"")</f>
        <v/>
      </c>
      <c r="J162" t="str">
        <f t="shared" si="2"/>
        <v/>
      </c>
      <c r="K162" t="str">
        <f>IFERROR((H162-VLOOKUP(E162,Products!A:G,7,FALSE))*G162,"")</f>
        <v/>
      </c>
    </row>
    <row r="163" spans="6:11" x14ac:dyDescent="0.25">
      <c r="F163" t="str">
        <f>IFERROR(VLOOKUP(E163,Products!A:B,2,FALSE),"")</f>
        <v/>
      </c>
      <c r="H163" t="str">
        <f>IFERROR(VLOOKUP(E163,Products!A:H,8,FALSE),"")</f>
        <v/>
      </c>
      <c r="J163" t="str">
        <f t="shared" si="2"/>
        <v/>
      </c>
      <c r="K163" t="str">
        <f>IFERROR((H163-VLOOKUP(E163,Products!A:G,7,FALSE))*G163,"")</f>
        <v/>
      </c>
    </row>
    <row r="164" spans="6:11" x14ac:dyDescent="0.25">
      <c r="F164" t="str">
        <f>IFERROR(VLOOKUP(E164,Products!A:B,2,FALSE),"")</f>
        <v/>
      </c>
      <c r="H164" t="str">
        <f>IFERROR(VLOOKUP(E164,Products!A:H,8,FALSE),"")</f>
        <v/>
      </c>
      <c r="J164" t="str">
        <f t="shared" si="2"/>
        <v/>
      </c>
      <c r="K164" t="str">
        <f>IFERROR((H164-VLOOKUP(E164,Products!A:G,7,FALSE))*G164,"")</f>
        <v/>
      </c>
    </row>
    <row r="165" spans="6:11" x14ac:dyDescent="0.25">
      <c r="F165" t="str">
        <f>IFERROR(VLOOKUP(E165,Products!A:B,2,FALSE),"")</f>
        <v/>
      </c>
      <c r="H165" t="str">
        <f>IFERROR(VLOOKUP(E165,Products!A:H,8,FALSE),"")</f>
        <v/>
      </c>
      <c r="J165" t="str">
        <f t="shared" si="2"/>
        <v/>
      </c>
      <c r="K165" t="str">
        <f>IFERROR((H165-VLOOKUP(E165,Products!A:G,7,FALSE))*G165,"")</f>
        <v/>
      </c>
    </row>
    <row r="166" spans="6:11" x14ac:dyDescent="0.25">
      <c r="F166" t="str">
        <f>IFERROR(VLOOKUP(E166,Products!A:B,2,FALSE),"")</f>
        <v/>
      </c>
      <c r="H166" t="str">
        <f>IFERROR(VLOOKUP(E166,Products!A:H,8,FALSE),"")</f>
        <v/>
      </c>
      <c r="J166" t="str">
        <f t="shared" si="2"/>
        <v/>
      </c>
      <c r="K166" t="str">
        <f>IFERROR((H166-VLOOKUP(E166,Products!A:G,7,FALSE))*G166,"")</f>
        <v/>
      </c>
    </row>
    <row r="167" spans="6:11" x14ac:dyDescent="0.25">
      <c r="F167" t="str">
        <f>IFERROR(VLOOKUP(E167,Products!A:B,2,FALSE),"")</f>
        <v/>
      </c>
      <c r="H167" t="str">
        <f>IFERROR(VLOOKUP(E167,Products!A:H,8,FALSE),"")</f>
        <v/>
      </c>
      <c r="J167" t="str">
        <f t="shared" si="2"/>
        <v/>
      </c>
      <c r="K167" t="str">
        <f>IFERROR((H167-VLOOKUP(E167,Products!A:G,7,FALSE))*G167,"")</f>
        <v/>
      </c>
    </row>
    <row r="168" spans="6:11" x14ac:dyDescent="0.25">
      <c r="F168" t="str">
        <f>IFERROR(VLOOKUP(E168,Products!A:B,2,FALSE),"")</f>
        <v/>
      </c>
      <c r="H168" t="str">
        <f>IFERROR(VLOOKUP(E168,Products!A:H,8,FALSE),"")</f>
        <v/>
      </c>
      <c r="J168" t="str">
        <f t="shared" si="2"/>
        <v/>
      </c>
      <c r="K168" t="str">
        <f>IFERROR((H168-VLOOKUP(E168,Products!A:G,7,FALSE))*G168,"")</f>
        <v/>
      </c>
    </row>
    <row r="169" spans="6:11" x14ac:dyDescent="0.25">
      <c r="F169" t="str">
        <f>IFERROR(VLOOKUP(E169,Products!A:B,2,FALSE),"")</f>
        <v/>
      </c>
      <c r="H169" t="str">
        <f>IFERROR(VLOOKUP(E169,Products!A:H,8,FALSE),"")</f>
        <v/>
      </c>
      <c r="J169" t="str">
        <f t="shared" si="2"/>
        <v/>
      </c>
      <c r="K169" t="str">
        <f>IFERROR((H169-VLOOKUP(E169,Products!A:G,7,FALSE))*G169,"")</f>
        <v/>
      </c>
    </row>
    <row r="170" spans="6:11" x14ac:dyDescent="0.25">
      <c r="F170" t="str">
        <f>IFERROR(VLOOKUP(E170,Products!A:B,2,FALSE),"")</f>
        <v/>
      </c>
      <c r="H170" t="str">
        <f>IFERROR(VLOOKUP(E170,Products!A:H,8,FALSE),"")</f>
        <v/>
      </c>
      <c r="J170" t="str">
        <f t="shared" si="2"/>
        <v/>
      </c>
      <c r="K170" t="str">
        <f>IFERROR((H170-VLOOKUP(E170,Products!A:G,7,FALSE))*G170,"")</f>
        <v/>
      </c>
    </row>
    <row r="171" spans="6:11" x14ac:dyDescent="0.25">
      <c r="F171" t="str">
        <f>IFERROR(VLOOKUP(E171,Products!A:B,2,FALSE),"")</f>
        <v/>
      </c>
      <c r="H171" t="str">
        <f>IFERROR(VLOOKUP(E171,Products!A:H,8,FALSE),"")</f>
        <v/>
      </c>
      <c r="J171" t="str">
        <f t="shared" si="2"/>
        <v/>
      </c>
      <c r="K171" t="str">
        <f>IFERROR((H171-VLOOKUP(E171,Products!A:G,7,FALSE))*G171,"")</f>
        <v/>
      </c>
    </row>
    <row r="172" spans="6:11" x14ac:dyDescent="0.25">
      <c r="F172" t="str">
        <f>IFERROR(VLOOKUP(E172,Products!A:B,2,FALSE),"")</f>
        <v/>
      </c>
      <c r="H172" t="str">
        <f>IFERROR(VLOOKUP(E172,Products!A:H,8,FALSE),"")</f>
        <v/>
      </c>
      <c r="J172" t="str">
        <f t="shared" si="2"/>
        <v/>
      </c>
      <c r="K172" t="str">
        <f>IFERROR((H172-VLOOKUP(E172,Products!A:G,7,FALSE))*G172,"")</f>
        <v/>
      </c>
    </row>
    <row r="173" spans="6:11" x14ac:dyDescent="0.25">
      <c r="F173" t="str">
        <f>IFERROR(VLOOKUP(E173,Products!A:B,2,FALSE),"")</f>
        <v/>
      </c>
      <c r="H173" t="str">
        <f>IFERROR(VLOOKUP(E173,Products!A:H,8,FALSE),"")</f>
        <v/>
      </c>
      <c r="J173" t="str">
        <f t="shared" si="2"/>
        <v/>
      </c>
      <c r="K173" t="str">
        <f>IFERROR((H173-VLOOKUP(E173,Products!A:G,7,FALSE))*G173,"")</f>
        <v/>
      </c>
    </row>
    <row r="174" spans="6:11" x14ac:dyDescent="0.25">
      <c r="F174" t="str">
        <f>IFERROR(VLOOKUP(E174,Products!A:B,2,FALSE),"")</f>
        <v/>
      </c>
      <c r="H174" t="str">
        <f>IFERROR(VLOOKUP(E174,Products!A:H,8,FALSE),"")</f>
        <v/>
      </c>
      <c r="J174" t="str">
        <f t="shared" si="2"/>
        <v/>
      </c>
      <c r="K174" t="str">
        <f>IFERROR((H174-VLOOKUP(E174,Products!A:G,7,FALSE))*G174,"")</f>
        <v/>
      </c>
    </row>
    <row r="175" spans="6:11" x14ac:dyDescent="0.25">
      <c r="F175" t="str">
        <f>IFERROR(VLOOKUP(E175,Products!A:B,2,FALSE),"")</f>
        <v/>
      </c>
      <c r="H175" t="str">
        <f>IFERROR(VLOOKUP(E175,Products!A:H,8,FALSE),"")</f>
        <v/>
      </c>
      <c r="J175" t="str">
        <f t="shared" si="2"/>
        <v/>
      </c>
      <c r="K175" t="str">
        <f>IFERROR((H175-VLOOKUP(E175,Products!A:G,7,FALSE))*G175,"")</f>
        <v/>
      </c>
    </row>
    <row r="176" spans="6:11" x14ac:dyDescent="0.25">
      <c r="F176" t="str">
        <f>IFERROR(VLOOKUP(E176,Products!A:B,2,FALSE),"")</f>
        <v/>
      </c>
      <c r="H176" t="str">
        <f>IFERROR(VLOOKUP(E176,Products!A:H,8,FALSE),"")</f>
        <v/>
      </c>
      <c r="J176" t="str">
        <f t="shared" si="2"/>
        <v/>
      </c>
      <c r="K176" t="str">
        <f>IFERROR((H176-VLOOKUP(E176,Products!A:G,7,FALSE))*G176,"")</f>
        <v/>
      </c>
    </row>
    <row r="177" spans="6:11" x14ac:dyDescent="0.25">
      <c r="F177" t="str">
        <f>IFERROR(VLOOKUP(E177,Products!A:B,2,FALSE),"")</f>
        <v/>
      </c>
      <c r="H177" t="str">
        <f>IFERROR(VLOOKUP(E177,Products!A:H,8,FALSE),"")</f>
        <v/>
      </c>
      <c r="J177" t="str">
        <f t="shared" si="2"/>
        <v/>
      </c>
      <c r="K177" t="str">
        <f>IFERROR((H177-VLOOKUP(E177,Products!A:G,7,FALSE))*G177,"")</f>
        <v/>
      </c>
    </row>
    <row r="178" spans="6:11" x14ac:dyDescent="0.25">
      <c r="F178" t="str">
        <f>IFERROR(VLOOKUP(E178,Products!A:B,2,FALSE),"")</f>
        <v/>
      </c>
      <c r="H178" t="str">
        <f>IFERROR(VLOOKUP(E178,Products!A:H,8,FALSE),"")</f>
        <v/>
      </c>
      <c r="J178" t="str">
        <f t="shared" si="2"/>
        <v/>
      </c>
      <c r="K178" t="str">
        <f>IFERROR((H178-VLOOKUP(E178,Products!A:G,7,FALSE))*G178,"")</f>
        <v/>
      </c>
    </row>
    <row r="179" spans="6:11" x14ac:dyDescent="0.25">
      <c r="F179" t="str">
        <f>IFERROR(VLOOKUP(E179,Products!A:B,2,FALSE),"")</f>
        <v/>
      </c>
      <c r="H179" t="str">
        <f>IFERROR(VLOOKUP(E179,Products!A:H,8,FALSE),"")</f>
        <v/>
      </c>
      <c r="J179" t="str">
        <f t="shared" si="2"/>
        <v/>
      </c>
      <c r="K179" t="str">
        <f>IFERROR((H179-VLOOKUP(E179,Products!A:G,7,FALSE))*G179,"")</f>
        <v/>
      </c>
    </row>
    <row r="180" spans="6:11" x14ac:dyDescent="0.25">
      <c r="F180" t="str">
        <f>IFERROR(VLOOKUP(E180,Products!A:B,2,FALSE),"")</f>
        <v/>
      </c>
      <c r="H180" t="str">
        <f>IFERROR(VLOOKUP(E180,Products!A:H,8,FALSE),"")</f>
        <v/>
      </c>
      <c r="J180" t="str">
        <f t="shared" si="2"/>
        <v/>
      </c>
      <c r="K180" t="str">
        <f>IFERROR((H180-VLOOKUP(E180,Products!A:G,7,FALSE))*G180,"")</f>
        <v/>
      </c>
    </row>
    <row r="181" spans="6:11" x14ac:dyDescent="0.25">
      <c r="F181" t="str">
        <f>IFERROR(VLOOKUP(E181,Products!A:B,2,FALSE),"")</f>
        <v/>
      </c>
      <c r="H181" t="str">
        <f>IFERROR(VLOOKUP(E181,Products!A:H,8,FALSE),"")</f>
        <v/>
      </c>
      <c r="J181" t="str">
        <f t="shared" si="2"/>
        <v/>
      </c>
      <c r="K181" t="str">
        <f>IFERROR((H181-VLOOKUP(E181,Products!A:G,7,FALSE))*G181,"")</f>
        <v/>
      </c>
    </row>
    <row r="182" spans="6:11" x14ac:dyDescent="0.25">
      <c r="F182" t="str">
        <f>IFERROR(VLOOKUP(E182,Products!A:B,2,FALSE),"")</f>
        <v/>
      </c>
      <c r="H182" t="str">
        <f>IFERROR(VLOOKUP(E182,Products!A:H,8,FALSE),"")</f>
        <v/>
      </c>
      <c r="J182" t="str">
        <f t="shared" si="2"/>
        <v/>
      </c>
      <c r="K182" t="str">
        <f>IFERROR((H182-VLOOKUP(E182,Products!A:G,7,FALSE))*G182,"")</f>
        <v/>
      </c>
    </row>
    <row r="183" spans="6:11" x14ac:dyDescent="0.25">
      <c r="F183" t="str">
        <f>IFERROR(VLOOKUP(E183,Products!A:B,2,FALSE),"")</f>
        <v/>
      </c>
      <c r="H183" t="str">
        <f>IFERROR(VLOOKUP(E183,Products!A:H,8,FALSE),"")</f>
        <v/>
      </c>
      <c r="J183" t="str">
        <f t="shared" si="2"/>
        <v/>
      </c>
      <c r="K183" t="str">
        <f>IFERROR((H183-VLOOKUP(E183,Products!A:G,7,FALSE))*G183,"")</f>
        <v/>
      </c>
    </row>
    <row r="184" spans="6:11" x14ac:dyDescent="0.25">
      <c r="F184" t="str">
        <f>IFERROR(VLOOKUP(E184,Products!A:B,2,FALSE),"")</f>
        <v/>
      </c>
      <c r="H184" t="str">
        <f>IFERROR(VLOOKUP(E184,Products!A:H,8,FALSE),"")</f>
        <v/>
      </c>
      <c r="J184" t="str">
        <f t="shared" si="2"/>
        <v/>
      </c>
      <c r="K184" t="str">
        <f>IFERROR((H184-VLOOKUP(E184,Products!A:G,7,FALSE))*G184,"")</f>
        <v/>
      </c>
    </row>
    <row r="185" spans="6:11" x14ac:dyDescent="0.25">
      <c r="F185" t="str">
        <f>IFERROR(VLOOKUP(E185,Products!A:B,2,FALSE),"")</f>
        <v/>
      </c>
      <c r="H185" t="str">
        <f>IFERROR(VLOOKUP(E185,Products!A:H,8,FALSE),"")</f>
        <v/>
      </c>
      <c r="J185" t="str">
        <f t="shared" si="2"/>
        <v/>
      </c>
      <c r="K185" t="str">
        <f>IFERROR((H185-VLOOKUP(E185,Products!A:G,7,FALSE))*G185,"")</f>
        <v/>
      </c>
    </row>
    <row r="186" spans="6:11" x14ac:dyDescent="0.25">
      <c r="F186" t="str">
        <f>IFERROR(VLOOKUP(E186,Products!A:B,2,FALSE),"")</f>
        <v/>
      </c>
      <c r="H186" t="str">
        <f>IFERROR(VLOOKUP(E186,Products!A:H,8,FALSE),"")</f>
        <v/>
      </c>
      <c r="J186" t="str">
        <f t="shared" si="2"/>
        <v/>
      </c>
      <c r="K186" t="str">
        <f>IFERROR((H186-VLOOKUP(E186,Products!A:G,7,FALSE))*G186,"")</f>
        <v/>
      </c>
    </row>
    <row r="187" spans="6:11" x14ac:dyDescent="0.25">
      <c r="F187" t="str">
        <f>IFERROR(VLOOKUP(E187,Products!A:B,2,FALSE),"")</f>
        <v/>
      </c>
      <c r="H187" t="str">
        <f>IFERROR(VLOOKUP(E187,Products!A:H,8,FALSE),"")</f>
        <v/>
      </c>
      <c r="J187" t="str">
        <f t="shared" si="2"/>
        <v/>
      </c>
      <c r="K187" t="str">
        <f>IFERROR((H187-VLOOKUP(E187,Products!A:G,7,FALSE))*G187,"")</f>
        <v/>
      </c>
    </row>
    <row r="188" spans="6:11" x14ac:dyDescent="0.25">
      <c r="F188" t="str">
        <f>IFERROR(VLOOKUP(E188,Products!A:B,2,FALSE),"")</f>
        <v/>
      </c>
      <c r="H188" t="str">
        <f>IFERROR(VLOOKUP(E188,Products!A:H,8,FALSE),"")</f>
        <v/>
      </c>
      <c r="J188" t="str">
        <f t="shared" si="2"/>
        <v/>
      </c>
      <c r="K188" t="str">
        <f>IFERROR((H188-VLOOKUP(E188,Products!A:G,7,FALSE))*G188,"")</f>
        <v/>
      </c>
    </row>
    <row r="189" spans="6:11" x14ac:dyDescent="0.25">
      <c r="F189" t="str">
        <f>IFERROR(VLOOKUP(E189,Products!A:B,2,FALSE),"")</f>
        <v/>
      </c>
      <c r="H189" t="str">
        <f>IFERROR(VLOOKUP(E189,Products!A:H,8,FALSE),"")</f>
        <v/>
      </c>
      <c r="J189" t="str">
        <f t="shared" si="2"/>
        <v/>
      </c>
      <c r="K189" t="str">
        <f>IFERROR((H189-VLOOKUP(E189,Products!A:G,7,FALSE))*G189,"")</f>
        <v/>
      </c>
    </row>
    <row r="190" spans="6:11" x14ac:dyDescent="0.25">
      <c r="F190" t="str">
        <f>IFERROR(VLOOKUP(E190,Products!A:B,2,FALSE),"")</f>
        <v/>
      </c>
      <c r="H190" t="str">
        <f>IFERROR(VLOOKUP(E190,Products!A:H,8,FALSE),"")</f>
        <v/>
      </c>
      <c r="J190" t="str">
        <f t="shared" si="2"/>
        <v/>
      </c>
      <c r="K190" t="str">
        <f>IFERROR((H190-VLOOKUP(E190,Products!A:G,7,FALSE))*G190,"")</f>
        <v/>
      </c>
    </row>
    <row r="191" spans="6:11" x14ac:dyDescent="0.25">
      <c r="F191" t="str">
        <f>IFERROR(VLOOKUP(E191,Products!A:B,2,FALSE),"")</f>
        <v/>
      </c>
      <c r="H191" t="str">
        <f>IFERROR(VLOOKUP(E191,Products!A:H,8,FALSE),"")</f>
        <v/>
      </c>
      <c r="J191" t="str">
        <f t="shared" si="2"/>
        <v/>
      </c>
      <c r="K191" t="str">
        <f>IFERROR((H191-VLOOKUP(E191,Products!A:G,7,FALSE))*G191,"")</f>
        <v/>
      </c>
    </row>
    <row r="192" spans="6:11" x14ac:dyDescent="0.25">
      <c r="F192" t="str">
        <f>IFERROR(VLOOKUP(E192,Products!A:B,2,FALSE),"")</f>
        <v/>
      </c>
      <c r="H192" t="str">
        <f>IFERROR(VLOOKUP(E192,Products!A:H,8,FALSE),"")</f>
        <v/>
      </c>
      <c r="J192" t="str">
        <f t="shared" si="2"/>
        <v/>
      </c>
      <c r="K192" t="str">
        <f>IFERROR((H192-VLOOKUP(E192,Products!A:G,7,FALSE))*G192,"")</f>
        <v/>
      </c>
    </row>
    <row r="193" spans="6:11" x14ac:dyDescent="0.25">
      <c r="F193" t="str">
        <f>IFERROR(VLOOKUP(E193,Products!A:B,2,FALSE),"")</f>
        <v/>
      </c>
      <c r="H193" t="str">
        <f>IFERROR(VLOOKUP(E193,Products!A:H,8,FALSE),"")</f>
        <v/>
      </c>
      <c r="J193" t="str">
        <f t="shared" si="2"/>
        <v/>
      </c>
      <c r="K193" t="str">
        <f>IFERROR((H193-VLOOKUP(E193,Products!A:G,7,FALSE))*G193,"")</f>
        <v/>
      </c>
    </row>
    <row r="194" spans="6:11" x14ac:dyDescent="0.25">
      <c r="F194" t="str">
        <f>IFERROR(VLOOKUP(E194,Products!A:B,2,FALSE),"")</f>
        <v/>
      </c>
      <c r="H194" t="str">
        <f>IFERROR(VLOOKUP(E194,Products!A:H,8,FALSE),"")</f>
        <v/>
      </c>
      <c r="J194" t="str">
        <f t="shared" si="2"/>
        <v/>
      </c>
      <c r="K194" t="str">
        <f>IFERROR((H194-VLOOKUP(E194,Products!A:G,7,FALSE))*G194,"")</f>
        <v/>
      </c>
    </row>
    <row r="195" spans="6:11" x14ac:dyDescent="0.25">
      <c r="F195" t="str">
        <f>IFERROR(VLOOKUP(E195,Products!A:B,2,FALSE),"")</f>
        <v/>
      </c>
      <c r="H195" t="str">
        <f>IFERROR(VLOOKUP(E195,Products!A:H,8,FALSE),"")</f>
        <v/>
      </c>
      <c r="J195" t="str">
        <f t="shared" ref="J195:J258" si="3">IFERROR((G195*H195-I195),"")</f>
        <v/>
      </c>
      <c r="K195" t="str">
        <f>IFERROR((H195-VLOOKUP(E195,Products!A:G,7,FALSE))*G195,"")</f>
        <v/>
      </c>
    </row>
    <row r="196" spans="6:11" x14ac:dyDescent="0.25">
      <c r="F196" t="str">
        <f>IFERROR(VLOOKUP(E196,Products!A:B,2,FALSE),"")</f>
        <v/>
      </c>
      <c r="H196" t="str">
        <f>IFERROR(VLOOKUP(E196,Products!A:H,8,FALSE),"")</f>
        <v/>
      </c>
      <c r="J196" t="str">
        <f t="shared" si="3"/>
        <v/>
      </c>
      <c r="K196" t="str">
        <f>IFERROR((H196-VLOOKUP(E196,Products!A:G,7,FALSE))*G196,"")</f>
        <v/>
      </c>
    </row>
    <row r="197" spans="6:11" x14ac:dyDescent="0.25">
      <c r="F197" t="str">
        <f>IFERROR(VLOOKUP(E197,Products!A:B,2,FALSE),"")</f>
        <v/>
      </c>
      <c r="H197" t="str">
        <f>IFERROR(VLOOKUP(E197,Products!A:H,8,FALSE),"")</f>
        <v/>
      </c>
      <c r="J197" t="str">
        <f t="shared" si="3"/>
        <v/>
      </c>
      <c r="K197" t="str">
        <f>IFERROR((H197-VLOOKUP(E197,Products!A:G,7,FALSE))*G197,"")</f>
        <v/>
      </c>
    </row>
    <row r="198" spans="6:11" x14ac:dyDescent="0.25">
      <c r="F198" t="str">
        <f>IFERROR(VLOOKUP(E198,Products!A:B,2,FALSE),"")</f>
        <v/>
      </c>
      <c r="H198" t="str">
        <f>IFERROR(VLOOKUP(E198,Products!A:H,8,FALSE),"")</f>
        <v/>
      </c>
      <c r="J198" t="str">
        <f t="shared" si="3"/>
        <v/>
      </c>
      <c r="K198" t="str">
        <f>IFERROR((H198-VLOOKUP(E198,Products!A:G,7,FALSE))*G198,"")</f>
        <v/>
      </c>
    </row>
    <row r="199" spans="6:11" x14ac:dyDescent="0.25">
      <c r="F199" t="str">
        <f>IFERROR(VLOOKUP(E199,Products!A:B,2,FALSE),"")</f>
        <v/>
      </c>
      <c r="H199" t="str">
        <f>IFERROR(VLOOKUP(E199,Products!A:H,8,FALSE),"")</f>
        <v/>
      </c>
      <c r="J199" t="str">
        <f t="shared" si="3"/>
        <v/>
      </c>
      <c r="K199" t="str">
        <f>IFERROR((H199-VLOOKUP(E199,Products!A:G,7,FALSE))*G199,"")</f>
        <v/>
      </c>
    </row>
    <row r="200" spans="6:11" x14ac:dyDescent="0.25">
      <c r="F200" t="str">
        <f>IFERROR(VLOOKUP(E200,Products!A:B,2,FALSE),"")</f>
        <v/>
      </c>
      <c r="H200" t="str">
        <f>IFERROR(VLOOKUP(E200,Products!A:H,8,FALSE),"")</f>
        <v/>
      </c>
      <c r="J200" t="str">
        <f t="shared" si="3"/>
        <v/>
      </c>
      <c r="K200" t="str">
        <f>IFERROR((H200-VLOOKUP(E200,Products!A:G,7,FALSE))*G200,"")</f>
        <v/>
      </c>
    </row>
    <row r="201" spans="6:11" x14ac:dyDescent="0.25">
      <c r="F201" t="str">
        <f>IFERROR(VLOOKUP(E201,Products!A:B,2,FALSE),"")</f>
        <v/>
      </c>
      <c r="H201" t="str">
        <f>IFERROR(VLOOKUP(E201,Products!A:H,8,FALSE),"")</f>
        <v/>
      </c>
      <c r="J201" t="str">
        <f t="shared" si="3"/>
        <v/>
      </c>
      <c r="K201" t="str">
        <f>IFERROR((H201-VLOOKUP(E201,Products!A:G,7,FALSE))*G201,"")</f>
        <v/>
      </c>
    </row>
    <row r="202" spans="6:11" x14ac:dyDescent="0.25">
      <c r="F202" t="str">
        <f>IFERROR(VLOOKUP(E202,Products!A:B,2,FALSE),"")</f>
        <v/>
      </c>
      <c r="H202" t="str">
        <f>IFERROR(VLOOKUP(E202,Products!A:H,8,FALSE),"")</f>
        <v/>
      </c>
      <c r="J202" t="str">
        <f t="shared" si="3"/>
        <v/>
      </c>
      <c r="K202" t="str">
        <f>IFERROR((H202-VLOOKUP(E202,Products!A:G,7,FALSE))*G202,"")</f>
        <v/>
      </c>
    </row>
    <row r="203" spans="6:11" x14ac:dyDescent="0.25">
      <c r="F203" t="str">
        <f>IFERROR(VLOOKUP(E203,Products!A:B,2,FALSE),"")</f>
        <v/>
      </c>
      <c r="H203" t="str">
        <f>IFERROR(VLOOKUP(E203,Products!A:H,8,FALSE),"")</f>
        <v/>
      </c>
      <c r="J203" t="str">
        <f t="shared" si="3"/>
        <v/>
      </c>
      <c r="K203" t="str">
        <f>IFERROR((H203-VLOOKUP(E203,Products!A:G,7,FALSE))*G203,"")</f>
        <v/>
      </c>
    </row>
    <row r="204" spans="6:11" x14ac:dyDescent="0.25">
      <c r="F204" t="str">
        <f>IFERROR(VLOOKUP(E204,Products!A:B,2,FALSE),"")</f>
        <v/>
      </c>
      <c r="H204" t="str">
        <f>IFERROR(VLOOKUP(E204,Products!A:H,8,FALSE),"")</f>
        <v/>
      </c>
      <c r="J204" t="str">
        <f t="shared" si="3"/>
        <v/>
      </c>
      <c r="K204" t="str">
        <f>IFERROR((H204-VLOOKUP(E204,Products!A:G,7,FALSE))*G204,"")</f>
        <v/>
      </c>
    </row>
    <row r="205" spans="6:11" x14ac:dyDescent="0.25">
      <c r="F205" t="str">
        <f>IFERROR(VLOOKUP(E205,Products!A:B,2,FALSE),"")</f>
        <v/>
      </c>
      <c r="H205" t="str">
        <f>IFERROR(VLOOKUP(E205,Products!A:H,8,FALSE),"")</f>
        <v/>
      </c>
      <c r="J205" t="str">
        <f t="shared" si="3"/>
        <v/>
      </c>
      <c r="K205" t="str">
        <f>IFERROR((H205-VLOOKUP(E205,Products!A:G,7,FALSE))*G205,"")</f>
        <v/>
      </c>
    </row>
    <row r="206" spans="6:11" x14ac:dyDescent="0.25">
      <c r="F206" t="str">
        <f>IFERROR(VLOOKUP(E206,Products!A:B,2,FALSE),"")</f>
        <v/>
      </c>
      <c r="H206" t="str">
        <f>IFERROR(VLOOKUP(E206,Products!A:H,8,FALSE),"")</f>
        <v/>
      </c>
      <c r="J206" t="str">
        <f t="shared" si="3"/>
        <v/>
      </c>
      <c r="K206" t="str">
        <f>IFERROR((H206-VLOOKUP(E206,Products!A:G,7,FALSE))*G206,"")</f>
        <v/>
      </c>
    </row>
    <row r="207" spans="6:11" x14ac:dyDescent="0.25">
      <c r="F207" t="str">
        <f>IFERROR(VLOOKUP(E207,Products!A:B,2,FALSE),"")</f>
        <v/>
      </c>
      <c r="H207" t="str">
        <f>IFERROR(VLOOKUP(E207,Products!A:H,8,FALSE),"")</f>
        <v/>
      </c>
      <c r="J207" t="str">
        <f t="shared" si="3"/>
        <v/>
      </c>
      <c r="K207" t="str">
        <f>IFERROR((H207-VLOOKUP(E207,Products!A:G,7,FALSE))*G207,"")</f>
        <v/>
      </c>
    </row>
    <row r="208" spans="6:11" x14ac:dyDescent="0.25">
      <c r="F208" t="str">
        <f>IFERROR(VLOOKUP(E208,Products!A:B,2,FALSE),"")</f>
        <v/>
      </c>
      <c r="H208" t="str">
        <f>IFERROR(VLOOKUP(E208,Products!A:H,8,FALSE),"")</f>
        <v/>
      </c>
      <c r="J208" t="str">
        <f t="shared" si="3"/>
        <v/>
      </c>
      <c r="K208" t="str">
        <f>IFERROR((H208-VLOOKUP(E208,Products!A:G,7,FALSE))*G208,"")</f>
        <v/>
      </c>
    </row>
    <row r="209" spans="6:11" x14ac:dyDescent="0.25">
      <c r="F209" t="str">
        <f>IFERROR(VLOOKUP(E209,Products!A:B,2,FALSE),"")</f>
        <v/>
      </c>
      <c r="H209" t="str">
        <f>IFERROR(VLOOKUP(E209,Products!A:H,8,FALSE),"")</f>
        <v/>
      </c>
      <c r="J209" t="str">
        <f t="shared" si="3"/>
        <v/>
      </c>
      <c r="K209" t="str">
        <f>IFERROR((H209-VLOOKUP(E209,Products!A:G,7,FALSE))*G209,"")</f>
        <v/>
      </c>
    </row>
    <row r="210" spans="6:11" x14ac:dyDescent="0.25">
      <c r="F210" t="str">
        <f>IFERROR(VLOOKUP(E210,Products!A:B,2,FALSE),"")</f>
        <v/>
      </c>
      <c r="H210" t="str">
        <f>IFERROR(VLOOKUP(E210,Products!A:H,8,FALSE),"")</f>
        <v/>
      </c>
      <c r="J210" t="str">
        <f t="shared" si="3"/>
        <v/>
      </c>
      <c r="K210" t="str">
        <f>IFERROR((H210-VLOOKUP(E210,Products!A:G,7,FALSE))*G210,"")</f>
        <v/>
      </c>
    </row>
    <row r="211" spans="6:11" x14ac:dyDescent="0.25">
      <c r="F211" t="str">
        <f>IFERROR(VLOOKUP(E211,Products!A:B,2,FALSE),"")</f>
        <v/>
      </c>
      <c r="H211" t="str">
        <f>IFERROR(VLOOKUP(E211,Products!A:H,8,FALSE),"")</f>
        <v/>
      </c>
      <c r="J211" t="str">
        <f t="shared" si="3"/>
        <v/>
      </c>
      <c r="K211" t="str">
        <f>IFERROR((H211-VLOOKUP(E211,Products!A:G,7,FALSE))*G211,"")</f>
        <v/>
      </c>
    </row>
    <row r="212" spans="6:11" x14ac:dyDescent="0.25">
      <c r="F212" t="str">
        <f>IFERROR(VLOOKUP(E212,Products!A:B,2,FALSE),"")</f>
        <v/>
      </c>
      <c r="H212" t="str">
        <f>IFERROR(VLOOKUP(E212,Products!A:H,8,FALSE),"")</f>
        <v/>
      </c>
      <c r="J212" t="str">
        <f t="shared" si="3"/>
        <v/>
      </c>
      <c r="K212" t="str">
        <f>IFERROR((H212-VLOOKUP(E212,Products!A:G,7,FALSE))*G212,"")</f>
        <v/>
      </c>
    </row>
    <row r="213" spans="6:11" x14ac:dyDescent="0.25">
      <c r="F213" t="str">
        <f>IFERROR(VLOOKUP(E213,Products!A:B,2,FALSE),"")</f>
        <v/>
      </c>
      <c r="H213" t="str">
        <f>IFERROR(VLOOKUP(E213,Products!A:H,8,FALSE),"")</f>
        <v/>
      </c>
      <c r="J213" t="str">
        <f t="shared" si="3"/>
        <v/>
      </c>
      <c r="K213" t="str">
        <f>IFERROR((H213-VLOOKUP(E213,Products!A:G,7,FALSE))*G213,"")</f>
        <v/>
      </c>
    </row>
    <row r="214" spans="6:11" x14ac:dyDescent="0.25">
      <c r="F214" t="str">
        <f>IFERROR(VLOOKUP(E214,Products!A:B,2,FALSE),"")</f>
        <v/>
      </c>
      <c r="H214" t="str">
        <f>IFERROR(VLOOKUP(E214,Products!A:H,8,FALSE),"")</f>
        <v/>
      </c>
      <c r="J214" t="str">
        <f t="shared" si="3"/>
        <v/>
      </c>
      <c r="K214" t="str">
        <f>IFERROR((H214-VLOOKUP(E214,Products!A:G,7,FALSE))*G214,"")</f>
        <v/>
      </c>
    </row>
    <row r="215" spans="6:11" x14ac:dyDescent="0.25">
      <c r="F215" t="str">
        <f>IFERROR(VLOOKUP(E215,Products!A:B,2,FALSE),"")</f>
        <v/>
      </c>
      <c r="H215" t="str">
        <f>IFERROR(VLOOKUP(E215,Products!A:H,8,FALSE),"")</f>
        <v/>
      </c>
      <c r="J215" t="str">
        <f t="shared" si="3"/>
        <v/>
      </c>
      <c r="K215" t="str">
        <f>IFERROR((H215-VLOOKUP(E215,Products!A:G,7,FALSE))*G215,"")</f>
        <v/>
      </c>
    </row>
    <row r="216" spans="6:11" x14ac:dyDescent="0.25">
      <c r="F216" t="str">
        <f>IFERROR(VLOOKUP(E216,Products!A:B,2,FALSE),"")</f>
        <v/>
      </c>
      <c r="H216" t="str">
        <f>IFERROR(VLOOKUP(E216,Products!A:H,8,FALSE),"")</f>
        <v/>
      </c>
      <c r="J216" t="str">
        <f t="shared" si="3"/>
        <v/>
      </c>
      <c r="K216" t="str">
        <f>IFERROR((H216-VLOOKUP(E216,Products!A:G,7,FALSE))*G216,"")</f>
        <v/>
      </c>
    </row>
    <row r="217" spans="6:11" x14ac:dyDescent="0.25">
      <c r="F217" t="str">
        <f>IFERROR(VLOOKUP(E217,Products!A:B,2,FALSE),"")</f>
        <v/>
      </c>
      <c r="H217" t="str">
        <f>IFERROR(VLOOKUP(E217,Products!A:H,8,FALSE),"")</f>
        <v/>
      </c>
      <c r="J217" t="str">
        <f t="shared" si="3"/>
        <v/>
      </c>
      <c r="K217" t="str">
        <f>IFERROR((H217-VLOOKUP(E217,Products!A:G,7,FALSE))*G217,"")</f>
        <v/>
      </c>
    </row>
    <row r="218" spans="6:11" x14ac:dyDescent="0.25">
      <c r="F218" t="str">
        <f>IFERROR(VLOOKUP(E218,Products!A:B,2,FALSE),"")</f>
        <v/>
      </c>
      <c r="H218" t="str">
        <f>IFERROR(VLOOKUP(E218,Products!A:H,8,FALSE),"")</f>
        <v/>
      </c>
      <c r="J218" t="str">
        <f t="shared" si="3"/>
        <v/>
      </c>
      <c r="K218" t="str">
        <f>IFERROR((H218-VLOOKUP(E218,Products!A:G,7,FALSE))*G218,"")</f>
        <v/>
      </c>
    </row>
    <row r="219" spans="6:11" x14ac:dyDescent="0.25">
      <c r="F219" t="str">
        <f>IFERROR(VLOOKUP(E219,Products!A:B,2,FALSE),"")</f>
        <v/>
      </c>
      <c r="H219" t="str">
        <f>IFERROR(VLOOKUP(E219,Products!A:H,8,FALSE),"")</f>
        <v/>
      </c>
      <c r="J219" t="str">
        <f t="shared" si="3"/>
        <v/>
      </c>
      <c r="K219" t="str">
        <f>IFERROR((H219-VLOOKUP(E219,Products!A:G,7,FALSE))*G219,"")</f>
        <v/>
      </c>
    </row>
    <row r="220" spans="6:11" x14ac:dyDescent="0.25">
      <c r="F220" t="str">
        <f>IFERROR(VLOOKUP(E220,Products!A:B,2,FALSE),"")</f>
        <v/>
      </c>
      <c r="H220" t="str">
        <f>IFERROR(VLOOKUP(E220,Products!A:H,8,FALSE),"")</f>
        <v/>
      </c>
      <c r="J220" t="str">
        <f t="shared" si="3"/>
        <v/>
      </c>
      <c r="K220" t="str">
        <f>IFERROR((H220-VLOOKUP(E220,Products!A:G,7,FALSE))*G220,"")</f>
        <v/>
      </c>
    </row>
    <row r="221" spans="6:11" x14ac:dyDescent="0.25">
      <c r="F221" t="str">
        <f>IFERROR(VLOOKUP(E221,Products!A:B,2,FALSE),"")</f>
        <v/>
      </c>
      <c r="H221" t="str">
        <f>IFERROR(VLOOKUP(E221,Products!A:H,8,FALSE),"")</f>
        <v/>
      </c>
      <c r="J221" t="str">
        <f t="shared" si="3"/>
        <v/>
      </c>
      <c r="K221" t="str">
        <f>IFERROR((H221-VLOOKUP(E221,Products!A:G,7,FALSE))*G221,"")</f>
        <v/>
      </c>
    </row>
    <row r="222" spans="6:11" x14ac:dyDescent="0.25">
      <c r="F222" t="str">
        <f>IFERROR(VLOOKUP(E222,Products!A:B,2,FALSE),"")</f>
        <v/>
      </c>
      <c r="H222" t="str">
        <f>IFERROR(VLOOKUP(E222,Products!A:H,8,FALSE),"")</f>
        <v/>
      </c>
      <c r="J222" t="str">
        <f t="shared" si="3"/>
        <v/>
      </c>
      <c r="K222" t="str">
        <f>IFERROR((H222-VLOOKUP(E222,Products!A:G,7,FALSE))*G222,"")</f>
        <v/>
      </c>
    </row>
    <row r="223" spans="6:11" x14ac:dyDescent="0.25">
      <c r="F223" t="str">
        <f>IFERROR(VLOOKUP(E223,Products!A:B,2,FALSE),"")</f>
        <v/>
      </c>
      <c r="H223" t="str">
        <f>IFERROR(VLOOKUP(E223,Products!A:H,8,FALSE),"")</f>
        <v/>
      </c>
      <c r="J223" t="str">
        <f t="shared" si="3"/>
        <v/>
      </c>
      <c r="K223" t="str">
        <f>IFERROR((H223-VLOOKUP(E223,Products!A:G,7,FALSE))*G223,"")</f>
        <v/>
      </c>
    </row>
    <row r="224" spans="6:11" x14ac:dyDescent="0.25">
      <c r="F224" t="str">
        <f>IFERROR(VLOOKUP(E224,Products!A:B,2,FALSE),"")</f>
        <v/>
      </c>
      <c r="H224" t="str">
        <f>IFERROR(VLOOKUP(E224,Products!A:H,8,FALSE),"")</f>
        <v/>
      </c>
      <c r="J224" t="str">
        <f t="shared" si="3"/>
        <v/>
      </c>
      <c r="K224" t="str">
        <f>IFERROR((H224-VLOOKUP(E224,Products!A:G,7,FALSE))*G224,"")</f>
        <v/>
      </c>
    </row>
    <row r="225" spans="6:11" x14ac:dyDescent="0.25">
      <c r="F225" t="str">
        <f>IFERROR(VLOOKUP(E225,Products!A:B,2,FALSE),"")</f>
        <v/>
      </c>
      <c r="H225" t="str">
        <f>IFERROR(VLOOKUP(E225,Products!A:H,8,FALSE),"")</f>
        <v/>
      </c>
      <c r="J225" t="str">
        <f t="shared" si="3"/>
        <v/>
      </c>
      <c r="K225" t="str">
        <f>IFERROR((H225-VLOOKUP(E225,Products!A:G,7,FALSE))*G225,"")</f>
        <v/>
      </c>
    </row>
    <row r="226" spans="6:11" x14ac:dyDescent="0.25">
      <c r="F226" t="str">
        <f>IFERROR(VLOOKUP(E226,Products!A:B,2,FALSE),"")</f>
        <v/>
      </c>
      <c r="H226" t="str">
        <f>IFERROR(VLOOKUP(E226,Products!A:H,8,FALSE),"")</f>
        <v/>
      </c>
      <c r="J226" t="str">
        <f t="shared" si="3"/>
        <v/>
      </c>
      <c r="K226" t="str">
        <f>IFERROR((H226-VLOOKUP(E226,Products!A:G,7,FALSE))*G226,"")</f>
        <v/>
      </c>
    </row>
    <row r="227" spans="6:11" x14ac:dyDescent="0.25">
      <c r="F227" t="str">
        <f>IFERROR(VLOOKUP(E227,Products!A:B,2,FALSE),"")</f>
        <v/>
      </c>
      <c r="H227" t="str">
        <f>IFERROR(VLOOKUP(E227,Products!A:H,8,FALSE),"")</f>
        <v/>
      </c>
      <c r="J227" t="str">
        <f t="shared" si="3"/>
        <v/>
      </c>
      <c r="K227" t="str">
        <f>IFERROR((H227-VLOOKUP(E227,Products!A:G,7,FALSE))*G227,"")</f>
        <v/>
      </c>
    </row>
    <row r="228" spans="6:11" x14ac:dyDescent="0.25">
      <c r="F228" t="str">
        <f>IFERROR(VLOOKUP(E228,Products!A:B,2,FALSE),"")</f>
        <v/>
      </c>
      <c r="H228" t="str">
        <f>IFERROR(VLOOKUP(E228,Products!A:H,8,FALSE),"")</f>
        <v/>
      </c>
      <c r="J228" t="str">
        <f t="shared" si="3"/>
        <v/>
      </c>
      <c r="K228" t="str">
        <f>IFERROR((H228-VLOOKUP(E228,Products!A:G,7,FALSE))*G228,"")</f>
        <v/>
      </c>
    </row>
    <row r="229" spans="6:11" x14ac:dyDescent="0.25">
      <c r="F229" t="str">
        <f>IFERROR(VLOOKUP(E229,Products!A:B,2,FALSE),"")</f>
        <v/>
      </c>
      <c r="H229" t="str">
        <f>IFERROR(VLOOKUP(E229,Products!A:H,8,FALSE),"")</f>
        <v/>
      </c>
      <c r="J229" t="str">
        <f t="shared" si="3"/>
        <v/>
      </c>
      <c r="K229" t="str">
        <f>IFERROR((H229-VLOOKUP(E229,Products!A:G,7,FALSE))*G229,"")</f>
        <v/>
      </c>
    </row>
    <row r="230" spans="6:11" x14ac:dyDescent="0.25">
      <c r="F230" t="str">
        <f>IFERROR(VLOOKUP(E230,Products!A:B,2,FALSE),"")</f>
        <v/>
      </c>
      <c r="H230" t="str">
        <f>IFERROR(VLOOKUP(E230,Products!A:H,8,FALSE),"")</f>
        <v/>
      </c>
      <c r="J230" t="str">
        <f t="shared" si="3"/>
        <v/>
      </c>
      <c r="K230" t="str">
        <f>IFERROR((H230-VLOOKUP(E230,Products!A:G,7,FALSE))*G230,"")</f>
        <v/>
      </c>
    </row>
    <row r="231" spans="6:11" x14ac:dyDescent="0.25">
      <c r="F231" t="str">
        <f>IFERROR(VLOOKUP(E231,Products!A:B,2,FALSE),"")</f>
        <v/>
      </c>
      <c r="H231" t="str">
        <f>IFERROR(VLOOKUP(E231,Products!A:H,8,FALSE),"")</f>
        <v/>
      </c>
      <c r="J231" t="str">
        <f t="shared" si="3"/>
        <v/>
      </c>
      <c r="K231" t="str">
        <f>IFERROR((H231-VLOOKUP(E231,Products!A:G,7,FALSE))*G231,"")</f>
        <v/>
      </c>
    </row>
    <row r="232" spans="6:11" x14ac:dyDescent="0.25">
      <c r="F232" t="str">
        <f>IFERROR(VLOOKUP(E232,Products!A:B,2,FALSE),"")</f>
        <v/>
      </c>
      <c r="H232" t="str">
        <f>IFERROR(VLOOKUP(E232,Products!A:H,8,FALSE),"")</f>
        <v/>
      </c>
      <c r="J232" t="str">
        <f t="shared" si="3"/>
        <v/>
      </c>
      <c r="K232" t="str">
        <f>IFERROR((H232-VLOOKUP(E232,Products!A:G,7,FALSE))*G232,"")</f>
        <v/>
      </c>
    </row>
    <row r="233" spans="6:11" x14ac:dyDescent="0.25">
      <c r="F233" t="str">
        <f>IFERROR(VLOOKUP(E233,Products!A:B,2,FALSE),"")</f>
        <v/>
      </c>
      <c r="H233" t="str">
        <f>IFERROR(VLOOKUP(E233,Products!A:H,8,FALSE),"")</f>
        <v/>
      </c>
      <c r="J233" t="str">
        <f t="shared" si="3"/>
        <v/>
      </c>
      <c r="K233" t="str">
        <f>IFERROR((H233-VLOOKUP(E233,Products!A:G,7,FALSE))*G233,"")</f>
        <v/>
      </c>
    </row>
    <row r="234" spans="6:11" x14ac:dyDescent="0.25">
      <c r="F234" t="str">
        <f>IFERROR(VLOOKUP(E234,Products!A:B,2,FALSE),"")</f>
        <v/>
      </c>
      <c r="H234" t="str">
        <f>IFERROR(VLOOKUP(E234,Products!A:H,8,FALSE),"")</f>
        <v/>
      </c>
      <c r="J234" t="str">
        <f t="shared" si="3"/>
        <v/>
      </c>
      <c r="K234" t="str">
        <f>IFERROR((H234-VLOOKUP(E234,Products!A:G,7,FALSE))*G234,"")</f>
        <v/>
      </c>
    </row>
    <row r="235" spans="6:11" x14ac:dyDescent="0.25">
      <c r="F235" t="str">
        <f>IFERROR(VLOOKUP(E235,Products!A:B,2,FALSE),"")</f>
        <v/>
      </c>
      <c r="H235" t="str">
        <f>IFERROR(VLOOKUP(E235,Products!A:H,8,FALSE),"")</f>
        <v/>
      </c>
      <c r="J235" t="str">
        <f t="shared" si="3"/>
        <v/>
      </c>
      <c r="K235" t="str">
        <f>IFERROR((H235-VLOOKUP(E235,Products!A:G,7,FALSE))*G235,"")</f>
        <v/>
      </c>
    </row>
    <row r="236" spans="6:11" x14ac:dyDescent="0.25">
      <c r="F236" t="str">
        <f>IFERROR(VLOOKUP(E236,Products!A:B,2,FALSE),"")</f>
        <v/>
      </c>
      <c r="H236" t="str">
        <f>IFERROR(VLOOKUP(E236,Products!A:H,8,FALSE),"")</f>
        <v/>
      </c>
      <c r="J236" t="str">
        <f t="shared" si="3"/>
        <v/>
      </c>
      <c r="K236" t="str">
        <f>IFERROR((H236-VLOOKUP(E236,Products!A:G,7,FALSE))*G236,"")</f>
        <v/>
      </c>
    </row>
    <row r="237" spans="6:11" x14ac:dyDescent="0.25">
      <c r="F237" t="str">
        <f>IFERROR(VLOOKUP(E237,Products!A:B,2,FALSE),"")</f>
        <v/>
      </c>
      <c r="H237" t="str">
        <f>IFERROR(VLOOKUP(E237,Products!A:H,8,FALSE),"")</f>
        <v/>
      </c>
      <c r="J237" t="str">
        <f t="shared" si="3"/>
        <v/>
      </c>
      <c r="K237" t="str">
        <f>IFERROR((H237-VLOOKUP(E237,Products!A:G,7,FALSE))*G237,"")</f>
        <v/>
      </c>
    </row>
    <row r="238" spans="6:11" x14ac:dyDescent="0.25">
      <c r="F238" t="str">
        <f>IFERROR(VLOOKUP(E238,Products!A:B,2,FALSE),"")</f>
        <v/>
      </c>
      <c r="H238" t="str">
        <f>IFERROR(VLOOKUP(E238,Products!A:H,8,FALSE),"")</f>
        <v/>
      </c>
      <c r="J238" t="str">
        <f t="shared" si="3"/>
        <v/>
      </c>
      <c r="K238" t="str">
        <f>IFERROR((H238-VLOOKUP(E238,Products!A:G,7,FALSE))*G238,"")</f>
        <v/>
      </c>
    </row>
    <row r="239" spans="6:11" x14ac:dyDescent="0.25">
      <c r="F239" t="str">
        <f>IFERROR(VLOOKUP(E239,Products!A:B,2,FALSE),"")</f>
        <v/>
      </c>
      <c r="H239" t="str">
        <f>IFERROR(VLOOKUP(E239,Products!A:H,8,FALSE),"")</f>
        <v/>
      </c>
      <c r="J239" t="str">
        <f t="shared" si="3"/>
        <v/>
      </c>
      <c r="K239" t="str">
        <f>IFERROR((H239-VLOOKUP(E239,Products!A:G,7,FALSE))*G239,"")</f>
        <v/>
      </c>
    </row>
    <row r="240" spans="6:11" x14ac:dyDescent="0.25">
      <c r="F240" t="str">
        <f>IFERROR(VLOOKUP(E240,Products!A:B,2,FALSE),"")</f>
        <v/>
      </c>
      <c r="H240" t="str">
        <f>IFERROR(VLOOKUP(E240,Products!A:H,8,FALSE),"")</f>
        <v/>
      </c>
      <c r="J240" t="str">
        <f t="shared" si="3"/>
        <v/>
      </c>
      <c r="K240" t="str">
        <f>IFERROR((H240-VLOOKUP(E240,Products!A:G,7,FALSE))*G240,"")</f>
        <v/>
      </c>
    </row>
    <row r="241" spans="6:11" x14ac:dyDescent="0.25">
      <c r="F241" t="str">
        <f>IFERROR(VLOOKUP(E241,Products!A:B,2,FALSE),"")</f>
        <v/>
      </c>
      <c r="H241" t="str">
        <f>IFERROR(VLOOKUP(E241,Products!A:H,8,FALSE),"")</f>
        <v/>
      </c>
      <c r="J241" t="str">
        <f t="shared" si="3"/>
        <v/>
      </c>
      <c r="K241" t="str">
        <f>IFERROR((H241-VLOOKUP(E241,Products!A:G,7,FALSE))*G241,"")</f>
        <v/>
      </c>
    </row>
    <row r="242" spans="6:11" x14ac:dyDescent="0.25">
      <c r="F242" t="str">
        <f>IFERROR(VLOOKUP(E242,Products!A:B,2,FALSE),"")</f>
        <v/>
      </c>
      <c r="H242" t="str">
        <f>IFERROR(VLOOKUP(E242,Products!A:H,8,FALSE),"")</f>
        <v/>
      </c>
      <c r="J242" t="str">
        <f t="shared" si="3"/>
        <v/>
      </c>
      <c r="K242" t="str">
        <f>IFERROR((H242-VLOOKUP(E242,Products!A:G,7,FALSE))*G242,"")</f>
        <v/>
      </c>
    </row>
    <row r="243" spans="6:11" x14ac:dyDescent="0.25">
      <c r="F243" t="str">
        <f>IFERROR(VLOOKUP(E243,Products!A:B,2,FALSE),"")</f>
        <v/>
      </c>
      <c r="H243" t="str">
        <f>IFERROR(VLOOKUP(E243,Products!A:H,8,FALSE),"")</f>
        <v/>
      </c>
      <c r="J243" t="str">
        <f t="shared" si="3"/>
        <v/>
      </c>
      <c r="K243" t="str">
        <f>IFERROR((H243-VLOOKUP(E243,Products!A:G,7,FALSE))*G243,"")</f>
        <v/>
      </c>
    </row>
    <row r="244" spans="6:11" x14ac:dyDescent="0.25">
      <c r="F244" t="str">
        <f>IFERROR(VLOOKUP(E244,Products!A:B,2,FALSE),"")</f>
        <v/>
      </c>
      <c r="H244" t="str">
        <f>IFERROR(VLOOKUP(E244,Products!A:H,8,FALSE),"")</f>
        <v/>
      </c>
      <c r="J244" t="str">
        <f t="shared" si="3"/>
        <v/>
      </c>
      <c r="K244" t="str">
        <f>IFERROR((H244-VLOOKUP(E244,Products!A:G,7,FALSE))*G244,"")</f>
        <v/>
      </c>
    </row>
    <row r="245" spans="6:11" x14ac:dyDescent="0.25">
      <c r="F245" t="str">
        <f>IFERROR(VLOOKUP(E245,Products!A:B,2,FALSE),"")</f>
        <v/>
      </c>
      <c r="H245" t="str">
        <f>IFERROR(VLOOKUP(E245,Products!A:H,8,FALSE),"")</f>
        <v/>
      </c>
      <c r="J245" t="str">
        <f t="shared" si="3"/>
        <v/>
      </c>
      <c r="K245" t="str">
        <f>IFERROR((H245-VLOOKUP(E245,Products!A:G,7,FALSE))*G245,"")</f>
        <v/>
      </c>
    </row>
    <row r="246" spans="6:11" x14ac:dyDescent="0.25">
      <c r="F246" t="str">
        <f>IFERROR(VLOOKUP(E246,Products!A:B,2,FALSE),"")</f>
        <v/>
      </c>
      <c r="H246" t="str">
        <f>IFERROR(VLOOKUP(E246,Products!A:H,8,FALSE),"")</f>
        <v/>
      </c>
      <c r="J246" t="str">
        <f t="shared" si="3"/>
        <v/>
      </c>
      <c r="K246" t="str">
        <f>IFERROR((H246-VLOOKUP(E246,Products!A:G,7,FALSE))*G246,"")</f>
        <v/>
      </c>
    </row>
    <row r="247" spans="6:11" x14ac:dyDescent="0.25">
      <c r="F247" t="str">
        <f>IFERROR(VLOOKUP(E247,Products!A:B,2,FALSE),"")</f>
        <v/>
      </c>
      <c r="H247" t="str">
        <f>IFERROR(VLOOKUP(E247,Products!A:H,8,FALSE),"")</f>
        <v/>
      </c>
      <c r="J247" t="str">
        <f t="shared" si="3"/>
        <v/>
      </c>
      <c r="K247" t="str">
        <f>IFERROR((H247-VLOOKUP(E247,Products!A:G,7,FALSE))*G247,"")</f>
        <v/>
      </c>
    </row>
    <row r="248" spans="6:11" x14ac:dyDescent="0.25">
      <c r="F248" t="str">
        <f>IFERROR(VLOOKUP(E248,Products!A:B,2,FALSE),"")</f>
        <v/>
      </c>
      <c r="H248" t="str">
        <f>IFERROR(VLOOKUP(E248,Products!A:H,8,FALSE),"")</f>
        <v/>
      </c>
      <c r="J248" t="str">
        <f t="shared" si="3"/>
        <v/>
      </c>
      <c r="K248" t="str">
        <f>IFERROR((H248-VLOOKUP(E248,Products!A:G,7,FALSE))*G248,"")</f>
        <v/>
      </c>
    </row>
    <row r="249" spans="6:11" x14ac:dyDescent="0.25">
      <c r="F249" t="str">
        <f>IFERROR(VLOOKUP(E249,Products!A:B,2,FALSE),"")</f>
        <v/>
      </c>
      <c r="H249" t="str">
        <f>IFERROR(VLOOKUP(E249,Products!A:H,8,FALSE),"")</f>
        <v/>
      </c>
      <c r="J249" t="str">
        <f t="shared" si="3"/>
        <v/>
      </c>
      <c r="K249" t="str">
        <f>IFERROR((H249-VLOOKUP(E249,Products!A:G,7,FALSE))*G249,"")</f>
        <v/>
      </c>
    </row>
    <row r="250" spans="6:11" x14ac:dyDescent="0.25">
      <c r="F250" t="str">
        <f>IFERROR(VLOOKUP(E250,Products!A:B,2,FALSE),"")</f>
        <v/>
      </c>
      <c r="H250" t="str">
        <f>IFERROR(VLOOKUP(E250,Products!A:H,8,FALSE),"")</f>
        <v/>
      </c>
      <c r="J250" t="str">
        <f t="shared" si="3"/>
        <v/>
      </c>
      <c r="K250" t="str">
        <f>IFERROR((H250-VLOOKUP(E250,Products!A:G,7,FALSE))*G250,"")</f>
        <v/>
      </c>
    </row>
    <row r="251" spans="6:11" x14ac:dyDescent="0.25">
      <c r="F251" t="str">
        <f>IFERROR(VLOOKUP(E251,Products!A:B,2,FALSE),"")</f>
        <v/>
      </c>
      <c r="H251" t="str">
        <f>IFERROR(VLOOKUP(E251,Products!A:H,8,FALSE),"")</f>
        <v/>
      </c>
      <c r="J251" t="str">
        <f t="shared" si="3"/>
        <v/>
      </c>
      <c r="K251" t="str">
        <f>IFERROR((H251-VLOOKUP(E251,Products!A:G,7,FALSE))*G251,"")</f>
        <v/>
      </c>
    </row>
    <row r="252" spans="6:11" x14ac:dyDescent="0.25">
      <c r="F252" t="str">
        <f>IFERROR(VLOOKUP(E252,Products!A:B,2,FALSE),"")</f>
        <v/>
      </c>
      <c r="H252" t="str">
        <f>IFERROR(VLOOKUP(E252,Products!A:H,8,FALSE),"")</f>
        <v/>
      </c>
      <c r="J252" t="str">
        <f t="shared" si="3"/>
        <v/>
      </c>
      <c r="K252" t="str">
        <f>IFERROR((H252-VLOOKUP(E252,Products!A:G,7,FALSE))*G252,"")</f>
        <v/>
      </c>
    </row>
    <row r="253" spans="6:11" x14ac:dyDescent="0.25">
      <c r="F253" t="str">
        <f>IFERROR(VLOOKUP(E253,Products!A:B,2,FALSE),"")</f>
        <v/>
      </c>
      <c r="H253" t="str">
        <f>IFERROR(VLOOKUP(E253,Products!A:H,8,FALSE),"")</f>
        <v/>
      </c>
      <c r="J253" t="str">
        <f t="shared" si="3"/>
        <v/>
      </c>
      <c r="K253" t="str">
        <f>IFERROR((H253-VLOOKUP(E253,Products!A:G,7,FALSE))*G253,"")</f>
        <v/>
      </c>
    </row>
    <row r="254" spans="6:11" x14ac:dyDescent="0.25">
      <c r="F254" t="str">
        <f>IFERROR(VLOOKUP(E254,Products!A:B,2,FALSE),"")</f>
        <v/>
      </c>
      <c r="H254" t="str">
        <f>IFERROR(VLOOKUP(E254,Products!A:H,8,FALSE),"")</f>
        <v/>
      </c>
      <c r="J254" t="str">
        <f t="shared" si="3"/>
        <v/>
      </c>
      <c r="K254" t="str">
        <f>IFERROR((H254-VLOOKUP(E254,Products!A:G,7,FALSE))*G254,"")</f>
        <v/>
      </c>
    </row>
    <row r="255" spans="6:11" x14ac:dyDescent="0.25">
      <c r="F255" t="str">
        <f>IFERROR(VLOOKUP(E255,Products!A:B,2,FALSE),"")</f>
        <v/>
      </c>
      <c r="H255" t="str">
        <f>IFERROR(VLOOKUP(E255,Products!A:H,8,FALSE),"")</f>
        <v/>
      </c>
      <c r="J255" t="str">
        <f t="shared" si="3"/>
        <v/>
      </c>
      <c r="K255" t="str">
        <f>IFERROR((H255-VLOOKUP(E255,Products!A:G,7,FALSE))*G255,"")</f>
        <v/>
      </c>
    </row>
    <row r="256" spans="6:11" x14ac:dyDescent="0.25">
      <c r="F256" t="str">
        <f>IFERROR(VLOOKUP(E256,Products!A:B,2,FALSE),"")</f>
        <v/>
      </c>
      <c r="H256" t="str">
        <f>IFERROR(VLOOKUP(E256,Products!A:H,8,FALSE),"")</f>
        <v/>
      </c>
      <c r="J256" t="str">
        <f t="shared" si="3"/>
        <v/>
      </c>
      <c r="K256" t="str">
        <f>IFERROR((H256-VLOOKUP(E256,Products!A:G,7,FALSE))*G256,"")</f>
        <v/>
      </c>
    </row>
    <row r="257" spans="6:11" x14ac:dyDescent="0.25">
      <c r="F257" t="str">
        <f>IFERROR(VLOOKUP(E257,Products!A:B,2,FALSE),"")</f>
        <v/>
      </c>
      <c r="H257" t="str">
        <f>IFERROR(VLOOKUP(E257,Products!A:H,8,FALSE),"")</f>
        <v/>
      </c>
      <c r="J257" t="str">
        <f t="shared" si="3"/>
        <v/>
      </c>
      <c r="K257" t="str">
        <f>IFERROR((H257-VLOOKUP(E257,Products!A:G,7,FALSE))*G257,"")</f>
        <v/>
      </c>
    </row>
    <row r="258" spans="6:11" x14ac:dyDescent="0.25">
      <c r="F258" t="str">
        <f>IFERROR(VLOOKUP(E258,Products!A:B,2,FALSE),"")</f>
        <v/>
      </c>
      <c r="H258" t="str">
        <f>IFERROR(VLOOKUP(E258,Products!A:H,8,FALSE),"")</f>
        <v/>
      </c>
      <c r="J258" t="str">
        <f t="shared" si="3"/>
        <v/>
      </c>
      <c r="K258" t="str">
        <f>IFERROR((H258-VLOOKUP(E258,Products!A:G,7,FALSE))*G258,"")</f>
        <v/>
      </c>
    </row>
    <row r="259" spans="6:11" x14ac:dyDescent="0.25">
      <c r="F259" t="str">
        <f>IFERROR(VLOOKUP(E259,Products!A:B,2,FALSE),"")</f>
        <v/>
      </c>
      <c r="H259" t="str">
        <f>IFERROR(VLOOKUP(E259,Products!A:H,8,FALSE),"")</f>
        <v/>
      </c>
      <c r="J259" t="str">
        <f t="shared" ref="J259:J322" si="4">IFERROR((G259*H259-I259),"")</f>
        <v/>
      </c>
      <c r="K259" t="str">
        <f>IFERROR((H259-VLOOKUP(E259,Products!A:G,7,FALSE))*G259,"")</f>
        <v/>
      </c>
    </row>
    <row r="260" spans="6:11" x14ac:dyDescent="0.25">
      <c r="F260" t="str">
        <f>IFERROR(VLOOKUP(E260,Products!A:B,2,FALSE),"")</f>
        <v/>
      </c>
      <c r="H260" t="str">
        <f>IFERROR(VLOOKUP(E260,Products!A:H,8,FALSE),"")</f>
        <v/>
      </c>
      <c r="J260" t="str">
        <f t="shared" si="4"/>
        <v/>
      </c>
      <c r="K260" t="str">
        <f>IFERROR((H260-VLOOKUP(E260,Products!A:G,7,FALSE))*G260,"")</f>
        <v/>
      </c>
    </row>
    <row r="261" spans="6:11" x14ac:dyDescent="0.25">
      <c r="F261" t="str">
        <f>IFERROR(VLOOKUP(E261,Products!A:B,2,FALSE),"")</f>
        <v/>
      </c>
      <c r="H261" t="str">
        <f>IFERROR(VLOOKUP(E261,Products!A:H,8,FALSE),"")</f>
        <v/>
      </c>
      <c r="J261" t="str">
        <f t="shared" si="4"/>
        <v/>
      </c>
      <c r="K261" t="str">
        <f>IFERROR((H261-VLOOKUP(E261,Products!A:G,7,FALSE))*G261,"")</f>
        <v/>
      </c>
    </row>
    <row r="262" spans="6:11" x14ac:dyDescent="0.25">
      <c r="F262" t="str">
        <f>IFERROR(VLOOKUP(E262,Products!A:B,2,FALSE),"")</f>
        <v/>
      </c>
      <c r="H262" t="str">
        <f>IFERROR(VLOOKUP(E262,Products!A:H,8,FALSE),"")</f>
        <v/>
      </c>
      <c r="J262" t="str">
        <f t="shared" si="4"/>
        <v/>
      </c>
      <c r="K262" t="str">
        <f>IFERROR((H262-VLOOKUP(E262,Products!A:G,7,FALSE))*G262,"")</f>
        <v/>
      </c>
    </row>
    <row r="263" spans="6:11" x14ac:dyDescent="0.25">
      <c r="F263" t="str">
        <f>IFERROR(VLOOKUP(E263,Products!A:B,2,FALSE),"")</f>
        <v/>
      </c>
      <c r="H263" t="str">
        <f>IFERROR(VLOOKUP(E263,Products!A:H,8,FALSE),"")</f>
        <v/>
      </c>
      <c r="J263" t="str">
        <f t="shared" si="4"/>
        <v/>
      </c>
      <c r="K263" t="str">
        <f>IFERROR((H263-VLOOKUP(E263,Products!A:G,7,FALSE))*G263,"")</f>
        <v/>
      </c>
    </row>
    <row r="264" spans="6:11" x14ac:dyDescent="0.25">
      <c r="F264" t="str">
        <f>IFERROR(VLOOKUP(E264,Products!A:B,2,FALSE),"")</f>
        <v/>
      </c>
      <c r="H264" t="str">
        <f>IFERROR(VLOOKUP(E264,Products!A:H,8,FALSE),"")</f>
        <v/>
      </c>
      <c r="J264" t="str">
        <f t="shared" si="4"/>
        <v/>
      </c>
      <c r="K264" t="str">
        <f>IFERROR((H264-VLOOKUP(E264,Products!A:G,7,FALSE))*G264,"")</f>
        <v/>
      </c>
    </row>
    <row r="265" spans="6:11" x14ac:dyDescent="0.25">
      <c r="F265" t="str">
        <f>IFERROR(VLOOKUP(E265,Products!A:B,2,FALSE),"")</f>
        <v/>
      </c>
      <c r="H265" t="str">
        <f>IFERROR(VLOOKUP(E265,Products!A:H,8,FALSE),"")</f>
        <v/>
      </c>
      <c r="J265" t="str">
        <f t="shared" si="4"/>
        <v/>
      </c>
      <c r="K265" t="str">
        <f>IFERROR((H265-VLOOKUP(E265,Products!A:G,7,FALSE))*G265,"")</f>
        <v/>
      </c>
    </row>
    <row r="266" spans="6:11" x14ac:dyDescent="0.25">
      <c r="F266" t="str">
        <f>IFERROR(VLOOKUP(E266,Products!A:B,2,FALSE),"")</f>
        <v/>
      </c>
      <c r="H266" t="str">
        <f>IFERROR(VLOOKUP(E266,Products!A:H,8,FALSE),"")</f>
        <v/>
      </c>
      <c r="J266" t="str">
        <f t="shared" si="4"/>
        <v/>
      </c>
      <c r="K266" t="str">
        <f>IFERROR((H266-VLOOKUP(E266,Products!A:G,7,FALSE))*G266,"")</f>
        <v/>
      </c>
    </row>
    <row r="267" spans="6:11" x14ac:dyDescent="0.25">
      <c r="F267" t="str">
        <f>IFERROR(VLOOKUP(E267,Products!A:B,2,FALSE),"")</f>
        <v/>
      </c>
      <c r="H267" t="str">
        <f>IFERROR(VLOOKUP(E267,Products!A:H,8,FALSE),"")</f>
        <v/>
      </c>
      <c r="J267" t="str">
        <f t="shared" si="4"/>
        <v/>
      </c>
      <c r="K267" t="str">
        <f>IFERROR((H267-VLOOKUP(E267,Products!A:G,7,FALSE))*G267,"")</f>
        <v/>
      </c>
    </row>
    <row r="268" spans="6:11" x14ac:dyDescent="0.25">
      <c r="F268" t="str">
        <f>IFERROR(VLOOKUP(E268,Products!A:B,2,FALSE),"")</f>
        <v/>
      </c>
      <c r="H268" t="str">
        <f>IFERROR(VLOOKUP(E268,Products!A:H,8,FALSE),"")</f>
        <v/>
      </c>
      <c r="J268" t="str">
        <f t="shared" si="4"/>
        <v/>
      </c>
      <c r="K268" t="str">
        <f>IFERROR((H268-VLOOKUP(E268,Products!A:G,7,FALSE))*G268,"")</f>
        <v/>
      </c>
    </row>
    <row r="269" spans="6:11" x14ac:dyDescent="0.25">
      <c r="F269" t="str">
        <f>IFERROR(VLOOKUP(E269,Products!A:B,2,FALSE),"")</f>
        <v/>
      </c>
      <c r="H269" t="str">
        <f>IFERROR(VLOOKUP(E269,Products!A:H,8,FALSE),"")</f>
        <v/>
      </c>
      <c r="J269" t="str">
        <f t="shared" si="4"/>
        <v/>
      </c>
      <c r="K269" t="str">
        <f>IFERROR((H269-VLOOKUP(E269,Products!A:G,7,FALSE))*G269,"")</f>
        <v/>
      </c>
    </row>
    <row r="270" spans="6:11" x14ac:dyDescent="0.25">
      <c r="F270" t="str">
        <f>IFERROR(VLOOKUP(E270,Products!A:B,2,FALSE),"")</f>
        <v/>
      </c>
      <c r="H270" t="str">
        <f>IFERROR(VLOOKUP(E270,Products!A:H,8,FALSE),"")</f>
        <v/>
      </c>
      <c r="J270" t="str">
        <f t="shared" si="4"/>
        <v/>
      </c>
      <c r="K270" t="str">
        <f>IFERROR((H270-VLOOKUP(E270,Products!A:G,7,FALSE))*G270,"")</f>
        <v/>
      </c>
    </row>
    <row r="271" spans="6:11" x14ac:dyDescent="0.25">
      <c r="F271" t="str">
        <f>IFERROR(VLOOKUP(E271,Products!A:B,2,FALSE),"")</f>
        <v/>
      </c>
      <c r="H271" t="str">
        <f>IFERROR(VLOOKUP(E271,Products!A:H,8,FALSE),"")</f>
        <v/>
      </c>
      <c r="J271" t="str">
        <f t="shared" si="4"/>
        <v/>
      </c>
      <c r="K271" t="str">
        <f>IFERROR((H271-VLOOKUP(E271,Products!A:G,7,FALSE))*G271,"")</f>
        <v/>
      </c>
    </row>
    <row r="272" spans="6:11" x14ac:dyDescent="0.25">
      <c r="F272" t="str">
        <f>IFERROR(VLOOKUP(E272,Products!A:B,2,FALSE),"")</f>
        <v/>
      </c>
      <c r="H272" t="str">
        <f>IFERROR(VLOOKUP(E272,Products!A:H,8,FALSE),"")</f>
        <v/>
      </c>
      <c r="J272" t="str">
        <f t="shared" si="4"/>
        <v/>
      </c>
      <c r="K272" t="str">
        <f>IFERROR((H272-VLOOKUP(E272,Products!A:G,7,FALSE))*G272,"")</f>
        <v/>
      </c>
    </row>
    <row r="273" spans="6:11" x14ac:dyDescent="0.25">
      <c r="F273" t="str">
        <f>IFERROR(VLOOKUP(E273,Products!A:B,2,FALSE),"")</f>
        <v/>
      </c>
      <c r="H273" t="str">
        <f>IFERROR(VLOOKUP(E273,Products!A:H,8,FALSE),"")</f>
        <v/>
      </c>
      <c r="J273" t="str">
        <f t="shared" si="4"/>
        <v/>
      </c>
      <c r="K273" t="str">
        <f>IFERROR((H273-VLOOKUP(E273,Products!A:G,7,FALSE))*G273,"")</f>
        <v/>
      </c>
    </row>
    <row r="274" spans="6:11" x14ac:dyDescent="0.25">
      <c r="F274" t="str">
        <f>IFERROR(VLOOKUP(E274,Products!A:B,2,FALSE),"")</f>
        <v/>
      </c>
      <c r="H274" t="str">
        <f>IFERROR(VLOOKUP(E274,Products!A:H,8,FALSE),"")</f>
        <v/>
      </c>
      <c r="J274" t="str">
        <f t="shared" si="4"/>
        <v/>
      </c>
      <c r="K274" t="str">
        <f>IFERROR((H274-VLOOKUP(E274,Products!A:G,7,FALSE))*G274,"")</f>
        <v/>
      </c>
    </row>
    <row r="275" spans="6:11" x14ac:dyDescent="0.25">
      <c r="F275" t="str">
        <f>IFERROR(VLOOKUP(E275,Products!A:B,2,FALSE),"")</f>
        <v/>
      </c>
      <c r="H275" t="str">
        <f>IFERROR(VLOOKUP(E275,Products!A:H,8,FALSE),"")</f>
        <v/>
      </c>
      <c r="J275" t="str">
        <f t="shared" si="4"/>
        <v/>
      </c>
      <c r="K275" t="str">
        <f>IFERROR((H275-VLOOKUP(E275,Products!A:G,7,FALSE))*G275,"")</f>
        <v/>
      </c>
    </row>
    <row r="276" spans="6:11" x14ac:dyDescent="0.25">
      <c r="F276" t="str">
        <f>IFERROR(VLOOKUP(E276,Products!A:B,2,FALSE),"")</f>
        <v/>
      </c>
      <c r="H276" t="str">
        <f>IFERROR(VLOOKUP(E276,Products!A:H,8,FALSE),"")</f>
        <v/>
      </c>
      <c r="J276" t="str">
        <f t="shared" si="4"/>
        <v/>
      </c>
      <c r="K276" t="str">
        <f>IFERROR((H276-VLOOKUP(E276,Products!A:G,7,FALSE))*G276,"")</f>
        <v/>
      </c>
    </row>
    <row r="277" spans="6:11" x14ac:dyDescent="0.25">
      <c r="F277" t="str">
        <f>IFERROR(VLOOKUP(E277,Products!A:B,2,FALSE),"")</f>
        <v/>
      </c>
      <c r="H277" t="str">
        <f>IFERROR(VLOOKUP(E277,Products!A:H,8,FALSE),"")</f>
        <v/>
      </c>
      <c r="J277" t="str">
        <f t="shared" si="4"/>
        <v/>
      </c>
      <c r="K277" t="str">
        <f>IFERROR((H277-VLOOKUP(E277,Products!A:G,7,FALSE))*G277,"")</f>
        <v/>
      </c>
    </row>
    <row r="278" spans="6:11" x14ac:dyDescent="0.25">
      <c r="F278" t="str">
        <f>IFERROR(VLOOKUP(E278,Products!A:B,2,FALSE),"")</f>
        <v/>
      </c>
      <c r="H278" t="str">
        <f>IFERROR(VLOOKUP(E278,Products!A:H,8,FALSE),"")</f>
        <v/>
      </c>
      <c r="J278" t="str">
        <f t="shared" si="4"/>
        <v/>
      </c>
      <c r="K278" t="str">
        <f>IFERROR((H278-VLOOKUP(E278,Products!A:G,7,FALSE))*G278,"")</f>
        <v/>
      </c>
    </row>
    <row r="279" spans="6:11" x14ac:dyDescent="0.25">
      <c r="F279" t="str">
        <f>IFERROR(VLOOKUP(E279,Products!A:B,2,FALSE),"")</f>
        <v/>
      </c>
      <c r="H279" t="str">
        <f>IFERROR(VLOOKUP(E279,Products!A:H,8,FALSE),"")</f>
        <v/>
      </c>
      <c r="J279" t="str">
        <f t="shared" si="4"/>
        <v/>
      </c>
      <c r="K279" t="str">
        <f>IFERROR((H279-VLOOKUP(E279,Products!A:G,7,FALSE))*G279,"")</f>
        <v/>
      </c>
    </row>
    <row r="280" spans="6:11" x14ac:dyDescent="0.25">
      <c r="F280" t="str">
        <f>IFERROR(VLOOKUP(E280,Products!A:B,2,FALSE),"")</f>
        <v/>
      </c>
      <c r="H280" t="str">
        <f>IFERROR(VLOOKUP(E280,Products!A:H,8,FALSE),"")</f>
        <v/>
      </c>
      <c r="J280" t="str">
        <f t="shared" si="4"/>
        <v/>
      </c>
      <c r="K280" t="str">
        <f>IFERROR((H280-VLOOKUP(E280,Products!A:G,7,FALSE))*G280,"")</f>
        <v/>
      </c>
    </row>
    <row r="281" spans="6:11" x14ac:dyDescent="0.25">
      <c r="F281" t="str">
        <f>IFERROR(VLOOKUP(E281,Products!A:B,2,FALSE),"")</f>
        <v/>
      </c>
      <c r="H281" t="str">
        <f>IFERROR(VLOOKUP(E281,Products!A:H,8,FALSE),"")</f>
        <v/>
      </c>
      <c r="J281" t="str">
        <f t="shared" si="4"/>
        <v/>
      </c>
      <c r="K281" t="str">
        <f>IFERROR((H281-VLOOKUP(E281,Products!A:G,7,FALSE))*G281,"")</f>
        <v/>
      </c>
    </row>
    <row r="282" spans="6:11" x14ac:dyDescent="0.25">
      <c r="F282" t="str">
        <f>IFERROR(VLOOKUP(E282,Products!A:B,2,FALSE),"")</f>
        <v/>
      </c>
      <c r="H282" t="str">
        <f>IFERROR(VLOOKUP(E282,Products!A:H,8,FALSE),"")</f>
        <v/>
      </c>
      <c r="J282" t="str">
        <f t="shared" si="4"/>
        <v/>
      </c>
      <c r="K282" t="str">
        <f>IFERROR((H282-VLOOKUP(E282,Products!A:G,7,FALSE))*G282,"")</f>
        <v/>
      </c>
    </row>
    <row r="283" spans="6:11" x14ac:dyDescent="0.25">
      <c r="F283" t="str">
        <f>IFERROR(VLOOKUP(E283,Products!A:B,2,FALSE),"")</f>
        <v/>
      </c>
      <c r="H283" t="str">
        <f>IFERROR(VLOOKUP(E283,Products!A:H,8,FALSE),"")</f>
        <v/>
      </c>
      <c r="J283" t="str">
        <f t="shared" si="4"/>
        <v/>
      </c>
      <c r="K283" t="str">
        <f>IFERROR((H283-VLOOKUP(E283,Products!A:G,7,FALSE))*G283,"")</f>
        <v/>
      </c>
    </row>
    <row r="284" spans="6:11" x14ac:dyDescent="0.25">
      <c r="F284" t="str">
        <f>IFERROR(VLOOKUP(E284,Products!A:B,2,FALSE),"")</f>
        <v/>
      </c>
      <c r="H284" t="str">
        <f>IFERROR(VLOOKUP(E284,Products!A:H,8,FALSE),"")</f>
        <v/>
      </c>
      <c r="J284" t="str">
        <f t="shared" si="4"/>
        <v/>
      </c>
      <c r="K284" t="str">
        <f>IFERROR((H284-VLOOKUP(E284,Products!A:G,7,FALSE))*G284,"")</f>
        <v/>
      </c>
    </row>
    <row r="285" spans="6:11" x14ac:dyDescent="0.25">
      <c r="F285" t="str">
        <f>IFERROR(VLOOKUP(E285,Products!A:B,2,FALSE),"")</f>
        <v/>
      </c>
      <c r="H285" t="str">
        <f>IFERROR(VLOOKUP(E285,Products!A:H,8,FALSE),"")</f>
        <v/>
      </c>
      <c r="J285" t="str">
        <f t="shared" si="4"/>
        <v/>
      </c>
      <c r="K285" t="str">
        <f>IFERROR((H285-VLOOKUP(E285,Products!A:G,7,FALSE))*G285,"")</f>
        <v/>
      </c>
    </row>
    <row r="286" spans="6:11" x14ac:dyDescent="0.25">
      <c r="F286" t="str">
        <f>IFERROR(VLOOKUP(E286,Products!A:B,2,FALSE),"")</f>
        <v/>
      </c>
      <c r="H286" t="str">
        <f>IFERROR(VLOOKUP(E286,Products!A:H,8,FALSE),"")</f>
        <v/>
      </c>
      <c r="J286" t="str">
        <f t="shared" si="4"/>
        <v/>
      </c>
      <c r="K286" t="str">
        <f>IFERROR((H286-VLOOKUP(E286,Products!A:G,7,FALSE))*G286,"")</f>
        <v/>
      </c>
    </row>
    <row r="287" spans="6:11" x14ac:dyDescent="0.25">
      <c r="F287" t="str">
        <f>IFERROR(VLOOKUP(E287,Products!A:B,2,FALSE),"")</f>
        <v/>
      </c>
      <c r="H287" t="str">
        <f>IFERROR(VLOOKUP(E287,Products!A:H,8,FALSE),"")</f>
        <v/>
      </c>
      <c r="J287" t="str">
        <f t="shared" si="4"/>
        <v/>
      </c>
      <c r="K287" t="str">
        <f>IFERROR((H287-VLOOKUP(E287,Products!A:G,7,FALSE))*G287,"")</f>
        <v/>
      </c>
    </row>
    <row r="288" spans="6:11" x14ac:dyDescent="0.25">
      <c r="F288" t="str">
        <f>IFERROR(VLOOKUP(E288,Products!A:B,2,FALSE),"")</f>
        <v/>
      </c>
      <c r="H288" t="str">
        <f>IFERROR(VLOOKUP(E288,Products!A:H,8,FALSE),"")</f>
        <v/>
      </c>
      <c r="J288" t="str">
        <f t="shared" si="4"/>
        <v/>
      </c>
      <c r="K288" t="str">
        <f>IFERROR((H288-VLOOKUP(E288,Products!A:G,7,FALSE))*G288,"")</f>
        <v/>
      </c>
    </row>
    <row r="289" spans="6:11" x14ac:dyDescent="0.25">
      <c r="F289" t="str">
        <f>IFERROR(VLOOKUP(E289,Products!A:B,2,FALSE),"")</f>
        <v/>
      </c>
      <c r="H289" t="str">
        <f>IFERROR(VLOOKUP(E289,Products!A:H,8,FALSE),"")</f>
        <v/>
      </c>
      <c r="J289" t="str">
        <f t="shared" si="4"/>
        <v/>
      </c>
      <c r="K289" t="str">
        <f>IFERROR((H289-VLOOKUP(E289,Products!A:G,7,FALSE))*G289,"")</f>
        <v/>
      </c>
    </row>
    <row r="290" spans="6:11" x14ac:dyDescent="0.25">
      <c r="F290" t="str">
        <f>IFERROR(VLOOKUP(E290,Products!A:B,2,FALSE),"")</f>
        <v/>
      </c>
      <c r="H290" t="str">
        <f>IFERROR(VLOOKUP(E290,Products!A:H,8,FALSE),"")</f>
        <v/>
      </c>
      <c r="J290" t="str">
        <f t="shared" si="4"/>
        <v/>
      </c>
      <c r="K290" t="str">
        <f>IFERROR((H290-VLOOKUP(E290,Products!A:G,7,FALSE))*G290,"")</f>
        <v/>
      </c>
    </row>
    <row r="291" spans="6:11" x14ac:dyDescent="0.25">
      <c r="F291" t="str">
        <f>IFERROR(VLOOKUP(E291,Products!A:B,2,FALSE),"")</f>
        <v/>
      </c>
      <c r="H291" t="str">
        <f>IFERROR(VLOOKUP(E291,Products!A:H,8,FALSE),"")</f>
        <v/>
      </c>
      <c r="J291" t="str">
        <f t="shared" si="4"/>
        <v/>
      </c>
      <c r="K291" t="str">
        <f>IFERROR((H291-VLOOKUP(E291,Products!A:G,7,FALSE))*G291,"")</f>
        <v/>
      </c>
    </row>
    <row r="292" spans="6:11" x14ac:dyDescent="0.25">
      <c r="F292" t="str">
        <f>IFERROR(VLOOKUP(E292,Products!A:B,2,FALSE),"")</f>
        <v/>
      </c>
      <c r="H292" t="str">
        <f>IFERROR(VLOOKUP(E292,Products!A:H,8,FALSE),"")</f>
        <v/>
      </c>
      <c r="J292" t="str">
        <f t="shared" si="4"/>
        <v/>
      </c>
      <c r="K292" t="str">
        <f>IFERROR((H292-VLOOKUP(E292,Products!A:G,7,FALSE))*G292,"")</f>
        <v/>
      </c>
    </row>
    <row r="293" spans="6:11" x14ac:dyDescent="0.25">
      <c r="F293" t="str">
        <f>IFERROR(VLOOKUP(E293,Products!A:B,2,FALSE),"")</f>
        <v/>
      </c>
      <c r="H293" t="str">
        <f>IFERROR(VLOOKUP(E293,Products!A:H,8,FALSE),"")</f>
        <v/>
      </c>
      <c r="J293" t="str">
        <f t="shared" si="4"/>
        <v/>
      </c>
      <c r="K293" t="str">
        <f>IFERROR((H293-VLOOKUP(E293,Products!A:G,7,FALSE))*G293,"")</f>
        <v/>
      </c>
    </row>
    <row r="294" spans="6:11" x14ac:dyDescent="0.25">
      <c r="F294" t="str">
        <f>IFERROR(VLOOKUP(E294,Products!A:B,2,FALSE),"")</f>
        <v/>
      </c>
      <c r="H294" t="str">
        <f>IFERROR(VLOOKUP(E294,Products!A:H,8,FALSE),"")</f>
        <v/>
      </c>
      <c r="J294" t="str">
        <f t="shared" si="4"/>
        <v/>
      </c>
      <c r="K294" t="str">
        <f>IFERROR((H294-VLOOKUP(E294,Products!A:G,7,FALSE))*G294,"")</f>
        <v/>
      </c>
    </row>
    <row r="295" spans="6:11" x14ac:dyDescent="0.25">
      <c r="F295" t="str">
        <f>IFERROR(VLOOKUP(E295,Products!A:B,2,FALSE),"")</f>
        <v/>
      </c>
      <c r="H295" t="str">
        <f>IFERROR(VLOOKUP(E295,Products!A:H,8,FALSE),"")</f>
        <v/>
      </c>
      <c r="J295" t="str">
        <f t="shared" si="4"/>
        <v/>
      </c>
      <c r="K295" t="str">
        <f>IFERROR((H295-VLOOKUP(E295,Products!A:G,7,FALSE))*G295,"")</f>
        <v/>
      </c>
    </row>
    <row r="296" spans="6:11" x14ac:dyDescent="0.25">
      <c r="F296" t="str">
        <f>IFERROR(VLOOKUP(E296,Products!A:B,2,FALSE),"")</f>
        <v/>
      </c>
      <c r="H296" t="str">
        <f>IFERROR(VLOOKUP(E296,Products!A:H,8,FALSE),"")</f>
        <v/>
      </c>
      <c r="J296" t="str">
        <f t="shared" si="4"/>
        <v/>
      </c>
      <c r="K296" t="str">
        <f>IFERROR((H296-VLOOKUP(E296,Products!A:G,7,FALSE))*G296,"")</f>
        <v/>
      </c>
    </row>
    <row r="297" spans="6:11" x14ac:dyDescent="0.25">
      <c r="F297" t="str">
        <f>IFERROR(VLOOKUP(E297,Products!A:B,2,FALSE),"")</f>
        <v/>
      </c>
      <c r="H297" t="str">
        <f>IFERROR(VLOOKUP(E297,Products!A:H,8,FALSE),"")</f>
        <v/>
      </c>
      <c r="J297" t="str">
        <f t="shared" si="4"/>
        <v/>
      </c>
      <c r="K297" t="str">
        <f>IFERROR((H297-VLOOKUP(E297,Products!A:G,7,FALSE))*G297,"")</f>
        <v/>
      </c>
    </row>
    <row r="298" spans="6:11" x14ac:dyDescent="0.25">
      <c r="F298" t="str">
        <f>IFERROR(VLOOKUP(E298,Products!A:B,2,FALSE),"")</f>
        <v/>
      </c>
      <c r="H298" t="str">
        <f>IFERROR(VLOOKUP(E298,Products!A:H,8,FALSE),"")</f>
        <v/>
      </c>
      <c r="J298" t="str">
        <f t="shared" si="4"/>
        <v/>
      </c>
      <c r="K298" t="str">
        <f>IFERROR((H298-VLOOKUP(E298,Products!A:G,7,FALSE))*G298,"")</f>
        <v/>
      </c>
    </row>
    <row r="299" spans="6:11" x14ac:dyDescent="0.25">
      <c r="F299" t="str">
        <f>IFERROR(VLOOKUP(E299,Products!A:B,2,FALSE),"")</f>
        <v/>
      </c>
      <c r="H299" t="str">
        <f>IFERROR(VLOOKUP(E299,Products!A:H,8,FALSE),"")</f>
        <v/>
      </c>
      <c r="J299" t="str">
        <f t="shared" si="4"/>
        <v/>
      </c>
      <c r="K299" t="str">
        <f>IFERROR((H299-VLOOKUP(E299,Products!A:G,7,FALSE))*G299,"")</f>
        <v/>
      </c>
    </row>
    <row r="300" spans="6:11" x14ac:dyDescent="0.25">
      <c r="F300" t="str">
        <f>IFERROR(VLOOKUP(E300,Products!A:B,2,FALSE),"")</f>
        <v/>
      </c>
      <c r="H300" t="str">
        <f>IFERROR(VLOOKUP(E300,Products!A:H,8,FALSE),"")</f>
        <v/>
      </c>
      <c r="J300" t="str">
        <f t="shared" si="4"/>
        <v/>
      </c>
      <c r="K300" t="str">
        <f>IFERROR((H300-VLOOKUP(E300,Products!A:G,7,FALSE))*G300,"")</f>
        <v/>
      </c>
    </row>
    <row r="301" spans="6:11" x14ac:dyDescent="0.25">
      <c r="F301" t="str">
        <f>IFERROR(VLOOKUP(E301,Products!A:B,2,FALSE),"")</f>
        <v/>
      </c>
      <c r="H301" t="str">
        <f>IFERROR(VLOOKUP(E301,Products!A:H,8,FALSE),"")</f>
        <v/>
      </c>
      <c r="J301" t="str">
        <f t="shared" si="4"/>
        <v/>
      </c>
      <c r="K301" t="str">
        <f>IFERROR((H301-VLOOKUP(E301,Products!A:G,7,FALSE))*G301,"")</f>
        <v/>
      </c>
    </row>
    <row r="302" spans="6:11" x14ac:dyDescent="0.25">
      <c r="F302" t="str">
        <f>IFERROR(VLOOKUP(E302,Products!A:B,2,FALSE),"")</f>
        <v/>
      </c>
      <c r="H302" t="str">
        <f>IFERROR(VLOOKUP(E302,Products!A:H,8,FALSE),"")</f>
        <v/>
      </c>
      <c r="J302" t="str">
        <f t="shared" si="4"/>
        <v/>
      </c>
      <c r="K302" t="str">
        <f>IFERROR((H302-VLOOKUP(E302,Products!A:G,7,FALSE))*G302,"")</f>
        <v/>
      </c>
    </row>
    <row r="303" spans="6:11" x14ac:dyDescent="0.25">
      <c r="F303" t="str">
        <f>IFERROR(VLOOKUP(E303,Products!A:B,2,FALSE),"")</f>
        <v/>
      </c>
      <c r="H303" t="str">
        <f>IFERROR(VLOOKUP(E303,Products!A:H,8,FALSE),"")</f>
        <v/>
      </c>
      <c r="J303" t="str">
        <f t="shared" si="4"/>
        <v/>
      </c>
      <c r="K303" t="str">
        <f>IFERROR((H303-VLOOKUP(E303,Products!A:G,7,FALSE))*G303,"")</f>
        <v/>
      </c>
    </row>
    <row r="304" spans="6:11" x14ac:dyDescent="0.25">
      <c r="F304" t="str">
        <f>IFERROR(VLOOKUP(E304,Products!A:B,2,FALSE),"")</f>
        <v/>
      </c>
      <c r="H304" t="str">
        <f>IFERROR(VLOOKUP(E304,Products!A:H,8,FALSE),"")</f>
        <v/>
      </c>
      <c r="J304" t="str">
        <f t="shared" si="4"/>
        <v/>
      </c>
      <c r="K304" t="str">
        <f>IFERROR((H304-VLOOKUP(E304,Products!A:G,7,FALSE))*G304,"")</f>
        <v/>
      </c>
    </row>
    <row r="305" spans="6:11" x14ac:dyDescent="0.25">
      <c r="F305" t="str">
        <f>IFERROR(VLOOKUP(E305,Products!A:B,2,FALSE),"")</f>
        <v/>
      </c>
      <c r="H305" t="str">
        <f>IFERROR(VLOOKUP(E305,Products!A:H,8,FALSE),"")</f>
        <v/>
      </c>
      <c r="J305" t="str">
        <f t="shared" si="4"/>
        <v/>
      </c>
      <c r="K305" t="str">
        <f>IFERROR((H305-VLOOKUP(E305,Products!A:G,7,FALSE))*G305,"")</f>
        <v/>
      </c>
    </row>
    <row r="306" spans="6:11" x14ac:dyDescent="0.25">
      <c r="F306" t="str">
        <f>IFERROR(VLOOKUP(E306,Products!A:B,2,FALSE),"")</f>
        <v/>
      </c>
      <c r="H306" t="str">
        <f>IFERROR(VLOOKUP(E306,Products!A:H,8,FALSE),"")</f>
        <v/>
      </c>
      <c r="J306" t="str">
        <f t="shared" si="4"/>
        <v/>
      </c>
      <c r="K306" t="str">
        <f>IFERROR((H306-VLOOKUP(E306,Products!A:G,7,FALSE))*G306,"")</f>
        <v/>
      </c>
    </row>
    <row r="307" spans="6:11" x14ac:dyDescent="0.25">
      <c r="F307" t="str">
        <f>IFERROR(VLOOKUP(E307,Products!A:B,2,FALSE),"")</f>
        <v/>
      </c>
      <c r="H307" t="str">
        <f>IFERROR(VLOOKUP(E307,Products!A:H,8,FALSE),"")</f>
        <v/>
      </c>
      <c r="J307" t="str">
        <f t="shared" si="4"/>
        <v/>
      </c>
      <c r="K307" t="str">
        <f>IFERROR((H307-VLOOKUP(E307,Products!A:G,7,FALSE))*G307,"")</f>
        <v/>
      </c>
    </row>
    <row r="308" spans="6:11" x14ac:dyDescent="0.25">
      <c r="F308" t="str">
        <f>IFERROR(VLOOKUP(E308,Products!A:B,2,FALSE),"")</f>
        <v/>
      </c>
      <c r="H308" t="str">
        <f>IFERROR(VLOOKUP(E308,Products!A:H,8,FALSE),"")</f>
        <v/>
      </c>
      <c r="J308" t="str">
        <f t="shared" si="4"/>
        <v/>
      </c>
      <c r="K308" t="str">
        <f>IFERROR((H308-VLOOKUP(E308,Products!A:G,7,FALSE))*G308,"")</f>
        <v/>
      </c>
    </row>
    <row r="309" spans="6:11" x14ac:dyDescent="0.25">
      <c r="F309" t="str">
        <f>IFERROR(VLOOKUP(E309,Products!A:B,2,FALSE),"")</f>
        <v/>
      </c>
      <c r="H309" t="str">
        <f>IFERROR(VLOOKUP(E309,Products!A:H,8,FALSE),"")</f>
        <v/>
      </c>
      <c r="J309" t="str">
        <f t="shared" si="4"/>
        <v/>
      </c>
      <c r="K309" t="str">
        <f>IFERROR((H309-VLOOKUP(E309,Products!A:G,7,FALSE))*G309,"")</f>
        <v/>
      </c>
    </row>
    <row r="310" spans="6:11" x14ac:dyDescent="0.25">
      <c r="F310" t="str">
        <f>IFERROR(VLOOKUP(E310,Products!A:B,2,FALSE),"")</f>
        <v/>
      </c>
      <c r="H310" t="str">
        <f>IFERROR(VLOOKUP(E310,Products!A:H,8,FALSE),"")</f>
        <v/>
      </c>
      <c r="J310" t="str">
        <f t="shared" si="4"/>
        <v/>
      </c>
      <c r="K310" t="str">
        <f>IFERROR((H310-VLOOKUP(E310,Products!A:G,7,FALSE))*G310,"")</f>
        <v/>
      </c>
    </row>
    <row r="311" spans="6:11" x14ac:dyDescent="0.25">
      <c r="F311" t="str">
        <f>IFERROR(VLOOKUP(E311,Products!A:B,2,FALSE),"")</f>
        <v/>
      </c>
      <c r="H311" t="str">
        <f>IFERROR(VLOOKUP(E311,Products!A:H,8,FALSE),"")</f>
        <v/>
      </c>
      <c r="J311" t="str">
        <f t="shared" si="4"/>
        <v/>
      </c>
      <c r="K311" t="str">
        <f>IFERROR((H311-VLOOKUP(E311,Products!A:G,7,FALSE))*G311,"")</f>
        <v/>
      </c>
    </row>
    <row r="312" spans="6:11" x14ac:dyDescent="0.25">
      <c r="F312" t="str">
        <f>IFERROR(VLOOKUP(E312,Products!A:B,2,FALSE),"")</f>
        <v/>
      </c>
      <c r="H312" t="str">
        <f>IFERROR(VLOOKUP(E312,Products!A:H,8,FALSE),"")</f>
        <v/>
      </c>
      <c r="J312" t="str">
        <f t="shared" si="4"/>
        <v/>
      </c>
      <c r="K312" t="str">
        <f>IFERROR((H312-VLOOKUP(E312,Products!A:G,7,FALSE))*G312,"")</f>
        <v/>
      </c>
    </row>
    <row r="313" spans="6:11" x14ac:dyDescent="0.25">
      <c r="F313" t="str">
        <f>IFERROR(VLOOKUP(E313,Products!A:B,2,FALSE),"")</f>
        <v/>
      </c>
      <c r="H313" t="str">
        <f>IFERROR(VLOOKUP(E313,Products!A:H,8,FALSE),"")</f>
        <v/>
      </c>
      <c r="J313" t="str">
        <f t="shared" si="4"/>
        <v/>
      </c>
      <c r="K313" t="str">
        <f>IFERROR((H313-VLOOKUP(E313,Products!A:G,7,FALSE))*G313,"")</f>
        <v/>
      </c>
    </row>
    <row r="314" spans="6:11" x14ac:dyDescent="0.25">
      <c r="F314" t="str">
        <f>IFERROR(VLOOKUP(E314,Products!A:B,2,FALSE),"")</f>
        <v/>
      </c>
      <c r="H314" t="str">
        <f>IFERROR(VLOOKUP(E314,Products!A:H,8,FALSE),"")</f>
        <v/>
      </c>
      <c r="J314" t="str">
        <f t="shared" si="4"/>
        <v/>
      </c>
      <c r="K314" t="str">
        <f>IFERROR((H314-VLOOKUP(E314,Products!A:G,7,FALSE))*G314,"")</f>
        <v/>
      </c>
    </row>
    <row r="315" spans="6:11" x14ac:dyDescent="0.25">
      <c r="F315" t="str">
        <f>IFERROR(VLOOKUP(E315,Products!A:B,2,FALSE),"")</f>
        <v/>
      </c>
      <c r="H315" t="str">
        <f>IFERROR(VLOOKUP(E315,Products!A:H,8,FALSE),"")</f>
        <v/>
      </c>
      <c r="J315" t="str">
        <f t="shared" si="4"/>
        <v/>
      </c>
      <c r="K315" t="str">
        <f>IFERROR((H315-VLOOKUP(E315,Products!A:G,7,FALSE))*G315,"")</f>
        <v/>
      </c>
    </row>
    <row r="316" spans="6:11" x14ac:dyDescent="0.25">
      <c r="F316" t="str">
        <f>IFERROR(VLOOKUP(E316,Products!A:B,2,FALSE),"")</f>
        <v/>
      </c>
      <c r="H316" t="str">
        <f>IFERROR(VLOOKUP(E316,Products!A:H,8,FALSE),"")</f>
        <v/>
      </c>
      <c r="J316" t="str">
        <f t="shared" si="4"/>
        <v/>
      </c>
      <c r="K316" t="str">
        <f>IFERROR((H316-VLOOKUP(E316,Products!A:G,7,FALSE))*G316,"")</f>
        <v/>
      </c>
    </row>
    <row r="317" spans="6:11" x14ac:dyDescent="0.25">
      <c r="F317" t="str">
        <f>IFERROR(VLOOKUP(E317,Products!A:B,2,FALSE),"")</f>
        <v/>
      </c>
      <c r="H317" t="str">
        <f>IFERROR(VLOOKUP(E317,Products!A:H,8,FALSE),"")</f>
        <v/>
      </c>
      <c r="J317" t="str">
        <f t="shared" si="4"/>
        <v/>
      </c>
      <c r="K317" t="str">
        <f>IFERROR((H317-VLOOKUP(E317,Products!A:G,7,FALSE))*G317,"")</f>
        <v/>
      </c>
    </row>
    <row r="318" spans="6:11" x14ac:dyDescent="0.25">
      <c r="F318" t="str">
        <f>IFERROR(VLOOKUP(E318,Products!A:B,2,FALSE),"")</f>
        <v/>
      </c>
      <c r="H318" t="str">
        <f>IFERROR(VLOOKUP(E318,Products!A:H,8,FALSE),"")</f>
        <v/>
      </c>
      <c r="J318" t="str">
        <f t="shared" si="4"/>
        <v/>
      </c>
      <c r="K318" t="str">
        <f>IFERROR((H318-VLOOKUP(E318,Products!A:G,7,FALSE))*G318,"")</f>
        <v/>
      </c>
    </row>
    <row r="319" spans="6:11" x14ac:dyDescent="0.25">
      <c r="F319" t="str">
        <f>IFERROR(VLOOKUP(E319,Products!A:B,2,FALSE),"")</f>
        <v/>
      </c>
      <c r="H319" t="str">
        <f>IFERROR(VLOOKUP(E319,Products!A:H,8,FALSE),"")</f>
        <v/>
      </c>
      <c r="J319" t="str">
        <f t="shared" si="4"/>
        <v/>
      </c>
      <c r="K319" t="str">
        <f>IFERROR((H319-VLOOKUP(E319,Products!A:G,7,FALSE))*G319,"")</f>
        <v/>
      </c>
    </row>
    <row r="320" spans="6:11" x14ac:dyDescent="0.25">
      <c r="F320" t="str">
        <f>IFERROR(VLOOKUP(E320,Products!A:B,2,FALSE),"")</f>
        <v/>
      </c>
      <c r="H320" t="str">
        <f>IFERROR(VLOOKUP(E320,Products!A:H,8,FALSE),"")</f>
        <v/>
      </c>
      <c r="J320" t="str">
        <f t="shared" si="4"/>
        <v/>
      </c>
      <c r="K320" t="str">
        <f>IFERROR((H320-VLOOKUP(E320,Products!A:G,7,FALSE))*G320,"")</f>
        <v/>
      </c>
    </row>
    <row r="321" spans="6:11" x14ac:dyDescent="0.25">
      <c r="F321" t="str">
        <f>IFERROR(VLOOKUP(E321,Products!A:B,2,FALSE),"")</f>
        <v/>
      </c>
      <c r="H321" t="str">
        <f>IFERROR(VLOOKUP(E321,Products!A:H,8,FALSE),"")</f>
        <v/>
      </c>
      <c r="J321" t="str">
        <f t="shared" si="4"/>
        <v/>
      </c>
      <c r="K321" t="str">
        <f>IFERROR((H321-VLOOKUP(E321,Products!A:G,7,FALSE))*G321,"")</f>
        <v/>
      </c>
    </row>
    <row r="322" spans="6:11" x14ac:dyDescent="0.25">
      <c r="F322" t="str">
        <f>IFERROR(VLOOKUP(E322,Products!A:B,2,FALSE),"")</f>
        <v/>
      </c>
      <c r="H322" t="str">
        <f>IFERROR(VLOOKUP(E322,Products!A:H,8,FALSE),"")</f>
        <v/>
      </c>
      <c r="J322" t="str">
        <f t="shared" si="4"/>
        <v/>
      </c>
      <c r="K322" t="str">
        <f>IFERROR((H322-VLOOKUP(E322,Products!A:G,7,FALSE))*G322,"")</f>
        <v/>
      </c>
    </row>
    <row r="323" spans="6:11" x14ac:dyDescent="0.25">
      <c r="F323" t="str">
        <f>IFERROR(VLOOKUP(E323,Products!A:B,2,FALSE),"")</f>
        <v/>
      </c>
      <c r="H323" t="str">
        <f>IFERROR(VLOOKUP(E323,Products!A:H,8,FALSE),"")</f>
        <v/>
      </c>
      <c r="J323" t="str">
        <f t="shared" ref="J323:J386" si="5">IFERROR((G323*H323-I323),"")</f>
        <v/>
      </c>
      <c r="K323" t="str">
        <f>IFERROR((H323-VLOOKUP(E323,Products!A:G,7,FALSE))*G323,"")</f>
        <v/>
      </c>
    </row>
    <row r="324" spans="6:11" x14ac:dyDescent="0.25">
      <c r="F324" t="str">
        <f>IFERROR(VLOOKUP(E324,Products!A:B,2,FALSE),"")</f>
        <v/>
      </c>
      <c r="H324" t="str">
        <f>IFERROR(VLOOKUP(E324,Products!A:H,8,FALSE),"")</f>
        <v/>
      </c>
      <c r="J324" t="str">
        <f t="shared" si="5"/>
        <v/>
      </c>
      <c r="K324" t="str">
        <f>IFERROR((H324-VLOOKUP(E324,Products!A:G,7,FALSE))*G324,"")</f>
        <v/>
      </c>
    </row>
    <row r="325" spans="6:11" x14ac:dyDescent="0.25">
      <c r="F325" t="str">
        <f>IFERROR(VLOOKUP(E325,Products!A:B,2,FALSE),"")</f>
        <v/>
      </c>
      <c r="H325" t="str">
        <f>IFERROR(VLOOKUP(E325,Products!A:H,8,FALSE),"")</f>
        <v/>
      </c>
      <c r="J325" t="str">
        <f t="shared" si="5"/>
        <v/>
      </c>
      <c r="K325" t="str">
        <f>IFERROR((H325-VLOOKUP(E325,Products!A:G,7,FALSE))*G325,"")</f>
        <v/>
      </c>
    </row>
    <row r="326" spans="6:11" x14ac:dyDescent="0.25">
      <c r="F326" t="str">
        <f>IFERROR(VLOOKUP(E326,Products!A:B,2,FALSE),"")</f>
        <v/>
      </c>
      <c r="H326" t="str">
        <f>IFERROR(VLOOKUP(E326,Products!A:H,8,FALSE),"")</f>
        <v/>
      </c>
      <c r="J326" t="str">
        <f t="shared" si="5"/>
        <v/>
      </c>
      <c r="K326" t="str">
        <f>IFERROR((H326-VLOOKUP(E326,Products!A:G,7,FALSE))*G326,"")</f>
        <v/>
      </c>
    </row>
    <row r="327" spans="6:11" x14ac:dyDescent="0.25">
      <c r="F327" t="str">
        <f>IFERROR(VLOOKUP(E327,Products!A:B,2,FALSE),"")</f>
        <v/>
      </c>
      <c r="H327" t="str">
        <f>IFERROR(VLOOKUP(E327,Products!A:H,8,FALSE),"")</f>
        <v/>
      </c>
      <c r="J327" t="str">
        <f t="shared" si="5"/>
        <v/>
      </c>
      <c r="K327" t="str">
        <f>IFERROR((H327-VLOOKUP(E327,Products!A:G,7,FALSE))*G327,"")</f>
        <v/>
      </c>
    </row>
    <row r="328" spans="6:11" x14ac:dyDescent="0.25">
      <c r="F328" t="str">
        <f>IFERROR(VLOOKUP(E328,Products!A:B,2,FALSE),"")</f>
        <v/>
      </c>
      <c r="H328" t="str">
        <f>IFERROR(VLOOKUP(E328,Products!A:H,8,FALSE),"")</f>
        <v/>
      </c>
      <c r="J328" t="str">
        <f t="shared" si="5"/>
        <v/>
      </c>
      <c r="K328" t="str">
        <f>IFERROR((H328-VLOOKUP(E328,Products!A:G,7,FALSE))*G328,"")</f>
        <v/>
      </c>
    </row>
    <row r="329" spans="6:11" x14ac:dyDescent="0.25">
      <c r="F329" t="str">
        <f>IFERROR(VLOOKUP(E329,Products!A:B,2,FALSE),"")</f>
        <v/>
      </c>
      <c r="H329" t="str">
        <f>IFERROR(VLOOKUP(E329,Products!A:H,8,FALSE),"")</f>
        <v/>
      </c>
      <c r="J329" t="str">
        <f t="shared" si="5"/>
        <v/>
      </c>
      <c r="K329" t="str">
        <f>IFERROR((H329-VLOOKUP(E329,Products!A:G,7,FALSE))*G329,"")</f>
        <v/>
      </c>
    </row>
    <row r="330" spans="6:11" x14ac:dyDescent="0.25">
      <c r="F330" t="str">
        <f>IFERROR(VLOOKUP(E330,Products!A:B,2,FALSE),"")</f>
        <v/>
      </c>
      <c r="H330" t="str">
        <f>IFERROR(VLOOKUP(E330,Products!A:H,8,FALSE),"")</f>
        <v/>
      </c>
      <c r="J330" t="str">
        <f t="shared" si="5"/>
        <v/>
      </c>
      <c r="K330" t="str">
        <f>IFERROR((H330-VLOOKUP(E330,Products!A:G,7,FALSE))*G330,"")</f>
        <v/>
      </c>
    </row>
    <row r="331" spans="6:11" x14ac:dyDescent="0.25">
      <c r="F331" t="str">
        <f>IFERROR(VLOOKUP(E331,Products!A:B,2,FALSE),"")</f>
        <v/>
      </c>
      <c r="H331" t="str">
        <f>IFERROR(VLOOKUP(E331,Products!A:H,8,FALSE),"")</f>
        <v/>
      </c>
      <c r="J331" t="str">
        <f t="shared" si="5"/>
        <v/>
      </c>
      <c r="K331" t="str">
        <f>IFERROR((H331-VLOOKUP(E331,Products!A:G,7,FALSE))*G331,"")</f>
        <v/>
      </c>
    </row>
    <row r="332" spans="6:11" x14ac:dyDescent="0.25">
      <c r="F332" t="str">
        <f>IFERROR(VLOOKUP(E332,Products!A:B,2,FALSE),"")</f>
        <v/>
      </c>
      <c r="H332" t="str">
        <f>IFERROR(VLOOKUP(E332,Products!A:H,8,FALSE),"")</f>
        <v/>
      </c>
      <c r="J332" t="str">
        <f t="shared" si="5"/>
        <v/>
      </c>
      <c r="K332" t="str">
        <f>IFERROR((H332-VLOOKUP(E332,Products!A:G,7,FALSE))*G332,"")</f>
        <v/>
      </c>
    </row>
    <row r="333" spans="6:11" x14ac:dyDescent="0.25">
      <c r="F333" t="str">
        <f>IFERROR(VLOOKUP(E333,Products!A:B,2,FALSE),"")</f>
        <v/>
      </c>
      <c r="H333" t="str">
        <f>IFERROR(VLOOKUP(E333,Products!A:H,8,FALSE),"")</f>
        <v/>
      </c>
      <c r="J333" t="str">
        <f t="shared" si="5"/>
        <v/>
      </c>
      <c r="K333" t="str">
        <f>IFERROR((H333-VLOOKUP(E333,Products!A:G,7,FALSE))*G333,"")</f>
        <v/>
      </c>
    </row>
    <row r="334" spans="6:11" x14ac:dyDescent="0.25">
      <c r="F334" t="str">
        <f>IFERROR(VLOOKUP(E334,Products!A:B,2,FALSE),"")</f>
        <v/>
      </c>
      <c r="H334" t="str">
        <f>IFERROR(VLOOKUP(E334,Products!A:H,8,FALSE),"")</f>
        <v/>
      </c>
      <c r="J334" t="str">
        <f t="shared" si="5"/>
        <v/>
      </c>
      <c r="K334" t="str">
        <f>IFERROR((H334-VLOOKUP(E334,Products!A:G,7,FALSE))*G334,"")</f>
        <v/>
      </c>
    </row>
    <row r="335" spans="6:11" x14ac:dyDescent="0.25">
      <c r="F335" t="str">
        <f>IFERROR(VLOOKUP(E335,Products!A:B,2,FALSE),"")</f>
        <v/>
      </c>
      <c r="H335" t="str">
        <f>IFERROR(VLOOKUP(E335,Products!A:H,8,FALSE),"")</f>
        <v/>
      </c>
      <c r="J335" t="str">
        <f t="shared" si="5"/>
        <v/>
      </c>
      <c r="K335" t="str">
        <f>IFERROR((H335-VLOOKUP(E335,Products!A:G,7,FALSE))*G335,"")</f>
        <v/>
      </c>
    </row>
    <row r="336" spans="6:11" x14ac:dyDescent="0.25">
      <c r="F336" t="str">
        <f>IFERROR(VLOOKUP(E336,Products!A:B,2,FALSE),"")</f>
        <v/>
      </c>
      <c r="H336" t="str">
        <f>IFERROR(VLOOKUP(E336,Products!A:H,8,FALSE),"")</f>
        <v/>
      </c>
      <c r="J336" t="str">
        <f t="shared" si="5"/>
        <v/>
      </c>
      <c r="K336" t="str">
        <f>IFERROR((H336-VLOOKUP(E336,Products!A:G,7,FALSE))*G336,"")</f>
        <v/>
      </c>
    </row>
    <row r="337" spans="6:11" x14ac:dyDescent="0.25">
      <c r="F337" t="str">
        <f>IFERROR(VLOOKUP(E337,Products!A:B,2,FALSE),"")</f>
        <v/>
      </c>
      <c r="H337" t="str">
        <f>IFERROR(VLOOKUP(E337,Products!A:H,8,FALSE),"")</f>
        <v/>
      </c>
      <c r="J337" t="str">
        <f t="shared" si="5"/>
        <v/>
      </c>
      <c r="K337" t="str">
        <f>IFERROR((H337-VLOOKUP(E337,Products!A:G,7,FALSE))*G337,"")</f>
        <v/>
      </c>
    </row>
    <row r="338" spans="6:11" x14ac:dyDescent="0.25">
      <c r="F338" t="str">
        <f>IFERROR(VLOOKUP(E338,Products!A:B,2,FALSE),"")</f>
        <v/>
      </c>
      <c r="H338" t="str">
        <f>IFERROR(VLOOKUP(E338,Products!A:H,8,FALSE),"")</f>
        <v/>
      </c>
      <c r="J338" t="str">
        <f t="shared" si="5"/>
        <v/>
      </c>
      <c r="K338" t="str">
        <f>IFERROR((H338-VLOOKUP(E338,Products!A:G,7,FALSE))*G338,"")</f>
        <v/>
      </c>
    </row>
    <row r="339" spans="6:11" x14ac:dyDescent="0.25">
      <c r="F339" t="str">
        <f>IFERROR(VLOOKUP(E339,Products!A:B,2,FALSE),"")</f>
        <v/>
      </c>
      <c r="H339" t="str">
        <f>IFERROR(VLOOKUP(E339,Products!A:H,8,FALSE),"")</f>
        <v/>
      </c>
      <c r="J339" t="str">
        <f t="shared" si="5"/>
        <v/>
      </c>
      <c r="K339" t="str">
        <f>IFERROR((H339-VLOOKUP(E339,Products!A:G,7,FALSE))*G339,"")</f>
        <v/>
      </c>
    </row>
    <row r="340" spans="6:11" x14ac:dyDescent="0.25">
      <c r="F340" t="str">
        <f>IFERROR(VLOOKUP(E340,Products!A:B,2,FALSE),"")</f>
        <v/>
      </c>
      <c r="H340" t="str">
        <f>IFERROR(VLOOKUP(E340,Products!A:H,8,FALSE),"")</f>
        <v/>
      </c>
      <c r="J340" t="str">
        <f t="shared" si="5"/>
        <v/>
      </c>
      <c r="K340" t="str">
        <f>IFERROR((H340-VLOOKUP(E340,Products!A:G,7,FALSE))*G340,"")</f>
        <v/>
      </c>
    </row>
    <row r="341" spans="6:11" x14ac:dyDescent="0.25">
      <c r="F341" t="str">
        <f>IFERROR(VLOOKUP(E341,Products!A:B,2,FALSE),"")</f>
        <v/>
      </c>
      <c r="H341" t="str">
        <f>IFERROR(VLOOKUP(E341,Products!A:H,8,FALSE),"")</f>
        <v/>
      </c>
      <c r="J341" t="str">
        <f t="shared" si="5"/>
        <v/>
      </c>
      <c r="K341" t="str">
        <f>IFERROR((H341-VLOOKUP(E341,Products!A:G,7,FALSE))*G341,"")</f>
        <v/>
      </c>
    </row>
    <row r="342" spans="6:11" x14ac:dyDescent="0.25">
      <c r="F342" t="str">
        <f>IFERROR(VLOOKUP(E342,Products!A:B,2,FALSE),"")</f>
        <v/>
      </c>
      <c r="H342" t="str">
        <f>IFERROR(VLOOKUP(E342,Products!A:H,8,FALSE),"")</f>
        <v/>
      </c>
      <c r="J342" t="str">
        <f t="shared" si="5"/>
        <v/>
      </c>
      <c r="K342" t="str">
        <f>IFERROR((H342-VLOOKUP(E342,Products!A:G,7,FALSE))*G342,"")</f>
        <v/>
      </c>
    </row>
    <row r="343" spans="6:11" x14ac:dyDescent="0.25">
      <c r="F343" t="str">
        <f>IFERROR(VLOOKUP(E343,Products!A:B,2,FALSE),"")</f>
        <v/>
      </c>
      <c r="H343" t="str">
        <f>IFERROR(VLOOKUP(E343,Products!A:H,8,FALSE),"")</f>
        <v/>
      </c>
      <c r="J343" t="str">
        <f t="shared" si="5"/>
        <v/>
      </c>
      <c r="K343" t="str">
        <f>IFERROR((H343-VLOOKUP(E343,Products!A:G,7,FALSE))*G343,"")</f>
        <v/>
      </c>
    </row>
    <row r="344" spans="6:11" x14ac:dyDescent="0.25">
      <c r="F344" t="str">
        <f>IFERROR(VLOOKUP(E344,Products!A:B,2,FALSE),"")</f>
        <v/>
      </c>
      <c r="H344" t="str">
        <f>IFERROR(VLOOKUP(E344,Products!A:H,8,FALSE),"")</f>
        <v/>
      </c>
      <c r="J344" t="str">
        <f t="shared" si="5"/>
        <v/>
      </c>
      <c r="K344" t="str">
        <f>IFERROR((H344-VLOOKUP(E344,Products!A:G,7,FALSE))*G344,"")</f>
        <v/>
      </c>
    </row>
    <row r="345" spans="6:11" x14ac:dyDescent="0.25">
      <c r="F345" t="str">
        <f>IFERROR(VLOOKUP(E345,Products!A:B,2,FALSE),"")</f>
        <v/>
      </c>
      <c r="H345" t="str">
        <f>IFERROR(VLOOKUP(E345,Products!A:H,8,FALSE),"")</f>
        <v/>
      </c>
      <c r="J345" t="str">
        <f t="shared" si="5"/>
        <v/>
      </c>
      <c r="K345" t="str">
        <f>IFERROR((H345-VLOOKUP(E345,Products!A:G,7,FALSE))*G345,"")</f>
        <v/>
      </c>
    </row>
    <row r="346" spans="6:11" x14ac:dyDescent="0.25">
      <c r="F346" t="str">
        <f>IFERROR(VLOOKUP(E346,Products!A:B,2,FALSE),"")</f>
        <v/>
      </c>
      <c r="H346" t="str">
        <f>IFERROR(VLOOKUP(E346,Products!A:H,8,FALSE),"")</f>
        <v/>
      </c>
      <c r="J346" t="str">
        <f t="shared" si="5"/>
        <v/>
      </c>
      <c r="K346" t="str">
        <f>IFERROR((H346-VLOOKUP(E346,Products!A:G,7,FALSE))*G346,"")</f>
        <v/>
      </c>
    </row>
    <row r="347" spans="6:11" x14ac:dyDescent="0.25">
      <c r="F347" t="str">
        <f>IFERROR(VLOOKUP(E347,Products!A:B,2,FALSE),"")</f>
        <v/>
      </c>
      <c r="H347" t="str">
        <f>IFERROR(VLOOKUP(E347,Products!A:H,8,FALSE),"")</f>
        <v/>
      </c>
      <c r="J347" t="str">
        <f t="shared" si="5"/>
        <v/>
      </c>
      <c r="K347" t="str">
        <f>IFERROR((H347-VLOOKUP(E347,Products!A:G,7,FALSE))*G347,"")</f>
        <v/>
      </c>
    </row>
    <row r="348" spans="6:11" x14ac:dyDescent="0.25">
      <c r="F348" t="str">
        <f>IFERROR(VLOOKUP(E348,Products!A:B,2,FALSE),"")</f>
        <v/>
      </c>
      <c r="H348" t="str">
        <f>IFERROR(VLOOKUP(E348,Products!A:H,8,FALSE),"")</f>
        <v/>
      </c>
      <c r="J348" t="str">
        <f t="shared" si="5"/>
        <v/>
      </c>
      <c r="K348" t="str">
        <f>IFERROR((H348-VLOOKUP(E348,Products!A:G,7,FALSE))*G348,"")</f>
        <v/>
      </c>
    </row>
    <row r="349" spans="6:11" x14ac:dyDescent="0.25">
      <c r="F349" t="str">
        <f>IFERROR(VLOOKUP(E349,Products!A:B,2,FALSE),"")</f>
        <v/>
      </c>
      <c r="H349" t="str">
        <f>IFERROR(VLOOKUP(E349,Products!A:H,8,FALSE),"")</f>
        <v/>
      </c>
      <c r="J349" t="str">
        <f t="shared" si="5"/>
        <v/>
      </c>
      <c r="K349" t="str">
        <f>IFERROR((H349-VLOOKUP(E349,Products!A:G,7,FALSE))*G349,"")</f>
        <v/>
      </c>
    </row>
    <row r="350" spans="6:11" x14ac:dyDescent="0.25">
      <c r="F350" t="str">
        <f>IFERROR(VLOOKUP(E350,Products!A:B,2,FALSE),"")</f>
        <v/>
      </c>
      <c r="H350" t="str">
        <f>IFERROR(VLOOKUP(E350,Products!A:H,8,FALSE),"")</f>
        <v/>
      </c>
      <c r="J350" t="str">
        <f t="shared" si="5"/>
        <v/>
      </c>
      <c r="K350" t="str">
        <f>IFERROR((H350-VLOOKUP(E350,Products!A:G,7,FALSE))*G350,"")</f>
        <v/>
      </c>
    </row>
    <row r="351" spans="6:11" x14ac:dyDescent="0.25">
      <c r="F351" t="str">
        <f>IFERROR(VLOOKUP(E351,Products!A:B,2,FALSE),"")</f>
        <v/>
      </c>
      <c r="H351" t="str">
        <f>IFERROR(VLOOKUP(E351,Products!A:H,8,FALSE),"")</f>
        <v/>
      </c>
      <c r="J351" t="str">
        <f t="shared" si="5"/>
        <v/>
      </c>
      <c r="K351" t="str">
        <f>IFERROR((H351-VLOOKUP(E351,Products!A:G,7,FALSE))*G351,"")</f>
        <v/>
      </c>
    </row>
    <row r="352" spans="6:11" x14ac:dyDescent="0.25">
      <c r="F352" t="str">
        <f>IFERROR(VLOOKUP(E352,Products!A:B,2,FALSE),"")</f>
        <v/>
      </c>
      <c r="H352" t="str">
        <f>IFERROR(VLOOKUP(E352,Products!A:H,8,FALSE),"")</f>
        <v/>
      </c>
      <c r="J352" t="str">
        <f t="shared" si="5"/>
        <v/>
      </c>
      <c r="K352" t="str">
        <f>IFERROR((H352-VLOOKUP(E352,Products!A:G,7,FALSE))*G352,"")</f>
        <v/>
      </c>
    </row>
    <row r="353" spans="6:11" x14ac:dyDescent="0.25">
      <c r="F353" t="str">
        <f>IFERROR(VLOOKUP(E353,Products!A:B,2,FALSE),"")</f>
        <v/>
      </c>
      <c r="H353" t="str">
        <f>IFERROR(VLOOKUP(E353,Products!A:H,8,FALSE),"")</f>
        <v/>
      </c>
      <c r="J353" t="str">
        <f t="shared" si="5"/>
        <v/>
      </c>
      <c r="K353" t="str">
        <f>IFERROR((H353-VLOOKUP(E353,Products!A:G,7,FALSE))*G353,"")</f>
        <v/>
      </c>
    </row>
    <row r="354" spans="6:11" x14ac:dyDescent="0.25">
      <c r="F354" t="str">
        <f>IFERROR(VLOOKUP(E354,Products!A:B,2,FALSE),"")</f>
        <v/>
      </c>
      <c r="H354" t="str">
        <f>IFERROR(VLOOKUP(E354,Products!A:H,8,FALSE),"")</f>
        <v/>
      </c>
      <c r="J354" t="str">
        <f t="shared" si="5"/>
        <v/>
      </c>
      <c r="K354" t="str">
        <f>IFERROR((H354-VLOOKUP(E354,Products!A:G,7,FALSE))*G354,"")</f>
        <v/>
      </c>
    </row>
    <row r="355" spans="6:11" x14ac:dyDescent="0.25">
      <c r="F355" t="str">
        <f>IFERROR(VLOOKUP(E355,Products!A:B,2,FALSE),"")</f>
        <v/>
      </c>
      <c r="H355" t="str">
        <f>IFERROR(VLOOKUP(E355,Products!A:H,8,FALSE),"")</f>
        <v/>
      </c>
      <c r="J355" t="str">
        <f t="shared" si="5"/>
        <v/>
      </c>
      <c r="K355" t="str">
        <f>IFERROR((H355-VLOOKUP(E355,Products!A:G,7,FALSE))*G355,"")</f>
        <v/>
      </c>
    </row>
    <row r="356" spans="6:11" x14ac:dyDescent="0.25">
      <c r="F356" t="str">
        <f>IFERROR(VLOOKUP(E356,Products!A:B,2,FALSE),"")</f>
        <v/>
      </c>
      <c r="H356" t="str">
        <f>IFERROR(VLOOKUP(E356,Products!A:H,8,FALSE),"")</f>
        <v/>
      </c>
      <c r="J356" t="str">
        <f t="shared" si="5"/>
        <v/>
      </c>
      <c r="K356" t="str">
        <f>IFERROR((H356-VLOOKUP(E356,Products!A:G,7,FALSE))*G356,"")</f>
        <v/>
      </c>
    </row>
    <row r="357" spans="6:11" x14ac:dyDescent="0.25">
      <c r="F357" t="str">
        <f>IFERROR(VLOOKUP(E357,Products!A:B,2,FALSE),"")</f>
        <v/>
      </c>
      <c r="H357" t="str">
        <f>IFERROR(VLOOKUP(E357,Products!A:H,8,FALSE),"")</f>
        <v/>
      </c>
      <c r="J357" t="str">
        <f t="shared" si="5"/>
        <v/>
      </c>
      <c r="K357" t="str">
        <f>IFERROR((H357-VLOOKUP(E357,Products!A:G,7,FALSE))*G357,"")</f>
        <v/>
      </c>
    </row>
    <row r="358" spans="6:11" x14ac:dyDescent="0.25">
      <c r="F358" t="str">
        <f>IFERROR(VLOOKUP(E358,Products!A:B,2,FALSE),"")</f>
        <v/>
      </c>
      <c r="H358" t="str">
        <f>IFERROR(VLOOKUP(E358,Products!A:H,8,FALSE),"")</f>
        <v/>
      </c>
      <c r="J358" t="str">
        <f t="shared" si="5"/>
        <v/>
      </c>
      <c r="K358" t="str">
        <f>IFERROR((H358-VLOOKUP(E358,Products!A:G,7,FALSE))*G358,"")</f>
        <v/>
      </c>
    </row>
    <row r="359" spans="6:11" x14ac:dyDescent="0.25">
      <c r="F359" t="str">
        <f>IFERROR(VLOOKUP(E359,Products!A:B,2,FALSE),"")</f>
        <v/>
      </c>
      <c r="H359" t="str">
        <f>IFERROR(VLOOKUP(E359,Products!A:H,8,FALSE),"")</f>
        <v/>
      </c>
      <c r="J359" t="str">
        <f t="shared" si="5"/>
        <v/>
      </c>
      <c r="K359" t="str">
        <f>IFERROR((H359-VLOOKUP(E359,Products!A:G,7,FALSE))*G359,"")</f>
        <v/>
      </c>
    </row>
    <row r="360" spans="6:11" x14ac:dyDescent="0.25">
      <c r="F360" t="str">
        <f>IFERROR(VLOOKUP(E360,Products!A:B,2,FALSE),"")</f>
        <v/>
      </c>
      <c r="H360" t="str">
        <f>IFERROR(VLOOKUP(E360,Products!A:H,8,FALSE),"")</f>
        <v/>
      </c>
      <c r="J360" t="str">
        <f t="shared" si="5"/>
        <v/>
      </c>
      <c r="K360" t="str">
        <f>IFERROR((H360-VLOOKUP(E360,Products!A:G,7,FALSE))*G360,"")</f>
        <v/>
      </c>
    </row>
    <row r="361" spans="6:11" x14ac:dyDescent="0.25">
      <c r="F361" t="str">
        <f>IFERROR(VLOOKUP(E361,Products!A:B,2,FALSE),"")</f>
        <v/>
      </c>
      <c r="H361" t="str">
        <f>IFERROR(VLOOKUP(E361,Products!A:H,8,FALSE),"")</f>
        <v/>
      </c>
      <c r="J361" t="str">
        <f t="shared" si="5"/>
        <v/>
      </c>
      <c r="K361" t="str">
        <f>IFERROR((H361-VLOOKUP(E361,Products!A:G,7,FALSE))*G361,"")</f>
        <v/>
      </c>
    </row>
    <row r="362" spans="6:11" x14ac:dyDescent="0.25">
      <c r="F362" t="str">
        <f>IFERROR(VLOOKUP(E362,Products!A:B,2,FALSE),"")</f>
        <v/>
      </c>
      <c r="H362" t="str">
        <f>IFERROR(VLOOKUP(E362,Products!A:H,8,FALSE),"")</f>
        <v/>
      </c>
      <c r="J362" t="str">
        <f t="shared" si="5"/>
        <v/>
      </c>
      <c r="K362" t="str">
        <f>IFERROR((H362-VLOOKUP(E362,Products!A:G,7,FALSE))*G362,"")</f>
        <v/>
      </c>
    </row>
    <row r="363" spans="6:11" x14ac:dyDescent="0.25">
      <c r="F363" t="str">
        <f>IFERROR(VLOOKUP(E363,Products!A:B,2,FALSE),"")</f>
        <v/>
      </c>
      <c r="H363" t="str">
        <f>IFERROR(VLOOKUP(E363,Products!A:H,8,FALSE),"")</f>
        <v/>
      </c>
      <c r="J363" t="str">
        <f t="shared" si="5"/>
        <v/>
      </c>
      <c r="K363" t="str">
        <f>IFERROR((H363-VLOOKUP(E363,Products!A:G,7,FALSE))*G363,"")</f>
        <v/>
      </c>
    </row>
    <row r="364" spans="6:11" x14ac:dyDescent="0.25">
      <c r="F364" t="str">
        <f>IFERROR(VLOOKUP(E364,Products!A:B,2,FALSE),"")</f>
        <v/>
      </c>
      <c r="H364" t="str">
        <f>IFERROR(VLOOKUP(E364,Products!A:H,8,FALSE),"")</f>
        <v/>
      </c>
      <c r="J364" t="str">
        <f t="shared" si="5"/>
        <v/>
      </c>
      <c r="K364" t="str">
        <f>IFERROR((H364-VLOOKUP(E364,Products!A:G,7,FALSE))*G364,"")</f>
        <v/>
      </c>
    </row>
    <row r="365" spans="6:11" x14ac:dyDescent="0.25">
      <c r="F365" t="str">
        <f>IFERROR(VLOOKUP(E365,Products!A:B,2,FALSE),"")</f>
        <v/>
      </c>
      <c r="H365" t="str">
        <f>IFERROR(VLOOKUP(E365,Products!A:H,8,FALSE),"")</f>
        <v/>
      </c>
      <c r="J365" t="str">
        <f t="shared" si="5"/>
        <v/>
      </c>
      <c r="K365" t="str">
        <f>IFERROR((H365-VLOOKUP(E365,Products!A:G,7,FALSE))*G365,"")</f>
        <v/>
      </c>
    </row>
    <row r="366" spans="6:11" x14ac:dyDescent="0.25">
      <c r="F366" t="str">
        <f>IFERROR(VLOOKUP(E366,Products!A:B,2,FALSE),"")</f>
        <v/>
      </c>
      <c r="H366" t="str">
        <f>IFERROR(VLOOKUP(E366,Products!A:H,8,FALSE),"")</f>
        <v/>
      </c>
      <c r="J366" t="str">
        <f t="shared" si="5"/>
        <v/>
      </c>
      <c r="K366" t="str">
        <f>IFERROR((H366-VLOOKUP(E366,Products!A:G,7,FALSE))*G366,"")</f>
        <v/>
      </c>
    </row>
    <row r="367" spans="6:11" x14ac:dyDescent="0.25">
      <c r="F367" t="str">
        <f>IFERROR(VLOOKUP(E367,Products!A:B,2,FALSE),"")</f>
        <v/>
      </c>
      <c r="H367" t="str">
        <f>IFERROR(VLOOKUP(E367,Products!A:H,8,FALSE),"")</f>
        <v/>
      </c>
      <c r="J367" t="str">
        <f t="shared" si="5"/>
        <v/>
      </c>
      <c r="K367" t="str">
        <f>IFERROR((H367-VLOOKUP(E367,Products!A:G,7,FALSE))*G367,"")</f>
        <v/>
      </c>
    </row>
    <row r="368" spans="6:11" x14ac:dyDescent="0.25">
      <c r="F368" t="str">
        <f>IFERROR(VLOOKUP(E368,Products!A:B,2,FALSE),"")</f>
        <v/>
      </c>
      <c r="H368" t="str">
        <f>IFERROR(VLOOKUP(E368,Products!A:H,8,FALSE),"")</f>
        <v/>
      </c>
      <c r="J368" t="str">
        <f t="shared" si="5"/>
        <v/>
      </c>
      <c r="K368" t="str">
        <f>IFERROR((H368-VLOOKUP(E368,Products!A:G,7,FALSE))*G368,"")</f>
        <v/>
      </c>
    </row>
    <row r="369" spans="6:11" x14ac:dyDescent="0.25">
      <c r="F369" t="str">
        <f>IFERROR(VLOOKUP(E369,Products!A:B,2,FALSE),"")</f>
        <v/>
      </c>
      <c r="H369" t="str">
        <f>IFERROR(VLOOKUP(E369,Products!A:H,8,FALSE),"")</f>
        <v/>
      </c>
      <c r="J369" t="str">
        <f t="shared" si="5"/>
        <v/>
      </c>
      <c r="K369" t="str">
        <f>IFERROR((H369-VLOOKUP(E369,Products!A:G,7,FALSE))*G369,"")</f>
        <v/>
      </c>
    </row>
    <row r="370" spans="6:11" x14ac:dyDescent="0.25">
      <c r="F370" t="str">
        <f>IFERROR(VLOOKUP(E370,Products!A:B,2,FALSE),"")</f>
        <v/>
      </c>
      <c r="H370" t="str">
        <f>IFERROR(VLOOKUP(E370,Products!A:H,8,FALSE),"")</f>
        <v/>
      </c>
      <c r="J370" t="str">
        <f t="shared" si="5"/>
        <v/>
      </c>
      <c r="K370" t="str">
        <f>IFERROR((H370-VLOOKUP(E370,Products!A:G,7,FALSE))*G370,"")</f>
        <v/>
      </c>
    </row>
    <row r="371" spans="6:11" x14ac:dyDescent="0.25">
      <c r="F371" t="str">
        <f>IFERROR(VLOOKUP(E371,Products!A:B,2,FALSE),"")</f>
        <v/>
      </c>
      <c r="H371" t="str">
        <f>IFERROR(VLOOKUP(E371,Products!A:H,8,FALSE),"")</f>
        <v/>
      </c>
      <c r="J371" t="str">
        <f t="shared" si="5"/>
        <v/>
      </c>
      <c r="K371" t="str">
        <f>IFERROR((H371-VLOOKUP(E371,Products!A:G,7,FALSE))*G371,"")</f>
        <v/>
      </c>
    </row>
    <row r="372" spans="6:11" x14ac:dyDescent="0.25">
      <c r="F372" t="str">
        <f>IFERROR(VLOOKUP(E372,Products!A:B,2,FALSE),"")</f>
        <v/>
      </c>
      <c r="H372" t="str">
        <f>IFERROR(VLOOKUP(E372,Products!A:H,8,FALSE),"")</f>
        <v/>
      </c>
      <c r="J372" t="str">
        <f t="shared" si="5"/>
        <v/>
      </c>
      <c r="K372" t="str">
        <f>IFERROR((H372-VLOOKUP(E372,Products!A:G,7,FALSE))*G372,"")</f>
        <v/>
      </c>
    </row>
    <row r="373" spans="6:11" x14ac:dyDescent="0.25">
      <c r="F373" t="str">
        <f>IFERROR(VLOOKUP(E373,Products!A:B,2,FALSE),"")</f>
        <v/>
      </c>
      <c r="H373" t="str">
        <f>IFERROR(VLOOKUP(E373,Products!A:H,8,FALSE),"")</f>
        <v/>
      </c>
      <c r="J373" t="str">
        <f t="shared" si="5"/>
        <v/>
      </c>
      <c r="K373" t="str">
        <f>IFERROR((H373-VLOOKUP(E373,Products!A:G,7,FALSE))*G373,"")</f>
        <v/>
      </c>
    </row>
    <row r="374" spans="6:11" x14ac:dyDescent="0.25">
      <c r="F374" t="str">
        <f>IFERROR(VLOOKUP(E374,Products!A:B,2,FALSE),"")</f>
        <v/>
      </c>
      <c r="H374" t="str">
        <f>IFERROR(VLOOKUP(E374,Products!A:H,8,FALSE),"")</f>
        <v/>
      </c>
      <c r="J374" t="str">
        <f t="shared" si="5"/>
        <v/>
      </c>
      <c r="K374" t="str">
        <f>IFERROR((H374-VLOOKUP(E374,Products!A:G,7,FALSE))*G374,"")</f>
        <v/>
      </c>
    </row>
    <row r="375" spans="6:11" x14ac:dyDescent="0.25">
      <c r="F375" t="str">
        <f>IFERROR(VLOOKUP(E375,Products!A:B,2,FALSE),"")</f>
        <v/>
      </c>
      <c r="H375" t="str">
        <f>IFERROR(VLOOKUP(E375,Products!A:H,8,FALSE),"")</f>
        <v/>
      </c>
      <c r="J375" t="str">
        <f t="shared" si="5"/>
        <v/>
      </c>
      <c r="K375" t="str">
        <f>IFERROR((H375-VLOOKUP(E375,Products!A:G,7,FALSE))*G375,"")</f>
        <v/>
      </c>
    </row>
    <row r="376" spans="6:11" x14ac:dyDescent="0.25">
      <c r="F376" t="str">
        <f>IFERROR(VLOOKUP(E376,Products!A:B,2,FALSE),"")</f>
        <v/>
      </c>
      <c r="H376" t="str">
        <f>IFERROR(VLOOKUP(E376,Products!A:H,8,FALSE),"")</f>
        <v/>
      </c>
      <c r="J376" t="str">
        <f t="shared" si="5"/>
        <v/>
      </c>
      <c r="K376" t="str">
        <f>IFERROR((H376-VLOOKUP(E376,Products!A:G,7,FALSE))*G376,"")</f>
        <v/>
      </c>
    </row>
    <row r="377" spans="6:11" x14ac:dyDescent="0.25">
      <c r="F377" t="str">
        <f>IFERROR(VLOOKUP(E377,Products!A:B,2,FALSE),"")</f>
        <v/>
      </c>
      <c r="H377" t="str">
        <f>IFERROR(VLOOKUP(E377,Products!A:H,8,FALSE),"")</f>
        <v/>
      </c>
      <c r="J377" t="str">
        <f t="shared" si="5"/>
        <v/>
      </c>
      <c r="K377" t="str">
        <f>IFERROR((H377-VLOOKUP(E377,Products!A:G,7,FALSE))*G377,"")</f>
        <v/>
      </c>
    </row>
    <row r="378" spans="6:11" x14ac:dyDescent="0.25">
      <c r="F378" t="str">
        <f>IFERROR(VLOOKUP(E378,Products!A:B,2,FALSE),"")</f>
        <v/>
      </c>
      <c r="H378" t="str">
        <f>IFERROR(VLOOKUP(E378,Products!A:H,8,FALSE),"")</f>
        <v/>
      </c>
      <c r="J378" t="str">
        <f t="shared" si="5"/>
        <v/>
      </c>
      <c r="K378" t="str">
        <f>IFERROR((H378-VLOOKUP(E378,Products!A:G,7,FALSE))*G378,"")</f>
        <v/>
      </c>
    </row>
    <row r="379" spans="6:11" x14ac:dyDescent="0.25">
      <c r="F379" t="str">
        <f>IFERROR(VLOOKUP(E379,Products!A:B,2,FALSE),"")</f>
        <v/>
      </c>
      <c r="H379" t="str">
        <f>IFERROR(VLOOKUP(E379,Products!A:H,8,FALSE),"")</f>
        <v/>
      </c>
      <c r="J379" t="str">
        <f t="shared" si="5"/>
        <v/>
      </c>
      <c r="K379" t="str">
        <f>IFERROR((H379-VLOOKUP(E379,Products!A:G,7,FALSE))*G379,"")</f>
        <v/>
      </c>
    </row>
    <row r="380" spans="6:11" x14ac:dyDescent="0.25">
      <c r="F380" t="str">
        <f>IFERROR(VLOOKUP(E380,Products!A:B,2,FALSE),"")</f>
        <v/>
      </c>
      <c r="H380" t="str">
        <f>IFERROR(VLOOKUP(E380,Products!A:H,8,FALSE),"")</f>
        <v/>
      </c>
      <c r="J380" t="str">
        <f t="shared" si="5"/>
        <v/>
      </c>
      <c r="K380" t="str">
        <f>IFERROR((H380-VLOOKUP(E380,Products!A:G,7,FALSE))*G380,"")</f>
        <v/>
      </c>
    </row>
    <row r="381" spans="6:11" x14ac:dyDescent="0.25">
      <c r="F381" t="str">
        <f>IFERROR(VLOOKUP(E381,Products!A:B,2,FALSE),"")</f>
        <v/>
      </c>
      <c r="H381" t="str">
        <f>IFERROR(VLOOKUP(E381,Products!A:H,8,FALSE),"")</f>
        <v/>
      </c>
      <c r="J381" t="str">
        <f t="shared" si="5"/>
        <v/>
      </c>
      <c r="K381" t="str">
        <f>IFERROR((H381-VLOOKUP(E381,Products!A:G,7,FALSE))*G381,"")</f>
        <v/>
      </c>
    </row>
    <row r="382" spans="6:11" x14ac:dyDescent="0.25">
      <c r="F382" t="str">
        <f>IFERROR(VLOOKUP(E382,Products!A:B,2,FALSE),"")</f>
        <v/>
      </c>
      <c r="H382" t="str">
        <f>IFERROR(VLOOKUP(E382,Products!A:H,8,FALSE),"")</f>
        <v/>
      </c>
      <c r="J382" t="str">
        <f t="shared" si="5"/>
        <v/>
      </c>
      <c r="K382" t="str">
        <f>IFERROR((H382-VLOOKUP(E382,Products!A:G,7,FALSE))*G382,"")</f>
        <v/>
      </c>
    </row>
    <row r="383" spans="6:11" x14ac:dyDescent="0.25">
      <c r="F383" t="str">
        <f>IFERROR(VLOOKUP(E383,Products!A:B,2,FALSE),"")</f>
        <v/>
      </c>
      <c r="H383" t="str">
        <f>IFERROR(VLOOKUP(E383,Products!A:H,8,FALSE),"")</f>
        <v/>
      </c>
      <c r="J383" t="str">
        <f t="shared" si="5"/>
        <v/>
      </c>
      <c r="K383" t="str">
        <f>IFERROR((H383-VLOOKUP(E383,Products!A:G,7,FALSE))*G383,"")</f>
        <v/>
      </c>
    </row>
    <row r="384" spans="6:11" x14ac:dyDescent="0.25">
      <c r="F384" t="str">
        <f>IFERROR(VLOOKUP(E384,Products!A:B,2,FALSE),"")</f>
        <v/>
      </c>
      <c r="H384" t="str">
        <f>IFERROR(VLOOKUP(E384,Products!A:H,8,FALSE),"")</f>
        <v/>
      </c>
      <c r="J384" t="str">
        <f t="shared" si="5"/>
        <v/>
      </c>
      <c r="K384" t="str">
        <f>IFERROR((H384-VLOOKUP(E384,Products!A:G,7,FALSE))*G384,"")</f>
        <v/>
      </c>
    </row>
    <row r="385" spans="6:11" x14ac:dyDescent="0.25">
      <c r="F385" t="str">
        <f>IFERROR(VLOOKUP(E385,Products!A:B,2,FALSE),"")</f>
        <v/>
      </c>
      <c r="H385" t="str">
        <f>IFERROR(VLOOKUP(E385,Products!A:H,8,FALSE),"")</f>
        <v/>
      </c>
      <c r="J385" t="str">
        <f t="shared" si="5"/>
        <v/>
      </c>
      <c r="K385" t="str">
        <f>IFERROR((H385-VLOOKUP(E385,Products!A:G,7,FALSE))*G385,"")</f>
        <v/>
      </c>
    </row>
    <row r="386" spans="6:11" x14ac:dyDescent="0.25">
      <c r="F386" t="str">
        <f>IFERROR(VLOOKUP(E386,Products!A:B,2,FALSE),"")</f>
        <v/>
      </c>
      <c r="H386" t="str">
        <f>IFERROR(VLOOKUP(E386,Products!A:H,8,FALSE),"")</f>
        <v/>
      </c>
      <c r="J386" t="str">
        <f t="shared" si="5"/>
        <v/>
      </c>
      <c r="K386" t="str">
        <f>IFERROR((H386-VLOOKUP(E386,Products!A:G,7,FALSE))*G386,"")</f>
        <v/>
      </c>
    </row>
    <row r="387" spans="6:11" x14ac:dyDescent="0.25">
      <c r="F387" t="str">
        <f>IFERROR(VLOOKUP(E387,Products!A:B,2,FALSE),"")</f>
        <v/>
      </c>
      <c r="H387" t="str">
        <f>IFERROR(VLOOKUP(E387,Products!A:H,8,FALSE),"")</f>
        <v/>
      </c>
      <c r="J387" t="str">
        <f t="shared" ref="J387:J450" si="6">IFERROR((G387*H387-I387),"")</f>
        <v/>
      </c>
      <c r="K387" t="str">
        <f>IFERROR((H387-VLOOKUP(E387,Products!A:G,7,FALSE))*G387,"")</f>
        <v/>
      </c>
    </row>
    <row r="388" spans="6:11" x14ac:dyDescent="0.25">
      <c r="F388" t="str">
        <f>IFERROR(VLOOKUP(E388,Products!A:B,2,FALSE),"")</f>
        <v/>
      </c>
      <c r="H388" t="str">
        <f>IFERROR(VLOOKUP(E388,Products!A:H,8,FALSE),"")</f>
        <v/>
      </c>
      <c r="J388" t="str">
        <f t="shared" si="6"/>
        <v/>
      </c>
      <c r="K388" t="str">
        <f>IFERROR((H388-VLOOKUP(E388,Products!A:G,7,FALSE))*G388,"")</f>
        <v/>
      </c>
    </row>
    <row r="389" spans="6:11" x14ac:dyDescent="0.25">
      <c r="F389" t="str">
        <f>IFERROR(VLOOKUP(E389,Products!A:B,2,FALSE),"")</f>
        <v/>
      </c>
      <c r="H389" t="str">
        <f>IFERROR(VLOOKUP(E389,Products!A:H,8,FALSE),"")</f>
        <v/>
      </c>
      <c r="J389" t="str">
        <f t="shared" si="6"/>
        <v/>
      </c>
      <c r="K389" t="str">
        <f>IFERROR((H389-VLOOKUP(E389,Products!A:G,7,FALSE))*G389,"")</f>
        <v/>
      </c>
    </row>
    <row r="390" spans="6:11" x14ac:dyDescent="0.25">
      <c r="F390" t="str">
        <f>IFERROR(VLOOKUP(E390,Products!A:B,2,FALSE),"")</f>
        <v/>
      </c>
      <c r="H390" t="str">
        <f>IFERROR(VLOOKUP(E390,Products!A:H,8,FALSE),"")</f>
        <v/>
      </c>
      <c r="J390" t="str">
        <f t="shared" si="6"/>
        <v/>
      </c>
      <c r="K390" t="str">
        <f>IFERROR((H390-VLOOKUP(E390,Products!A:G,7,FALSE))*G390,"")</f>
        <v/>
      </c>
    </row>
    <row r="391" spans="6:11" x14ac:dyDescent="0.25">
      <c r="F391" t="str">
        <f>IFERROR(VLOOKUP(E391,Products!A:B,2,FALSE),"")</f>
        <v/>
      </c>
      <c r="H391" t="str">
        <f>IFERROR(VLOOKUP(E391,Products!A:H,8,FALSE),"")</f>
        <v/>
      </c>
      <c r="J391" t="str">
        <f t="shared" si="6"/>
        <v/>
      </c>
      <c r="K391" t="str">
        <f>IFERROR((H391-VLOOKUP(E391,Products!A:G,7,FALSE))*G391,"")</f>
        <v/>
      </c>
    </row>
    <row r="392" spans="6:11" x14ac:dyDescent="0.25">
      <c r="F392" t="str">
        <f>IFERROR(VLOOKUP(E392,Products!A:B,2,FALSE),"")</f>
        <v/>
      </c>
      <c r="H392" t="str">
        <f>IFERROR(VLOOKUP(E392,Products!A:H,8,FALSE),"")</f>
        <v/>
      </c>
      <c r="J392" t="str">
        <f t="shared" si="6"/>
        <v/>
      </c>
      <c r="K392" t="str">
        <f>IFERROR((H392-VLOOKUP(E392,Products!A:G,7,FALSE))*G392,"")</f>
        <v/>
      </c>
    </row>
    <row r="393" spans="6:11" x14ac:dyDescent="0.25">
      <c r="F393" t="str">
        <f>IFERROR(VLOOKUP(E393,Products!A:B,2,FALSE),"")</f>
        <v/>
      </c>
      <c r="H393" t="str">
        <f>IFERROR(VLOOKUP(E393,Products!A:H,8,FALSE),"")</f>
        <v/>
      </c>
      <c r="J393" t="str">
        <f t="shared" si="6"/>
        <v/>
      </c>
      <c r="K393" t="str">
        <f>IFERROR((H393-VLOOKUP(E393,Products!A:G,7,FALSE))*G393,"")</f>
        <v/>
      </c>
    </row>
    <row r="394" spans="6:11" x14ac:dyDescent="0.25">
      <c r="F394" t="str">
        <f>IFERROR(VLOOKUP(E394,Products!A:B,2,FALSE),"")</f>
        <v/>
      </c>
      <c r="H394" t="str">
        <f>IFERROR(VLOOKUP(E394,Products!A:H,8,FALSE),"")</f>
        <v/>
      </c>
      <c r="J394" t="str">
        <f t="shared" si="6"/>
        <v/>
      </c>
      <c r="K394" t="str">
        <f>IFERROR((H394-VLOOKUP(E394,Products!A:G,7,FALSE))*G394,"")</f>
        <v/>
      </c>
    </row>
    <row r="395" spans="6:11" x14ac:dyDescent="0.25">
      <c r="F395" t="str">
        <f>IFERROR(VLOOKUP(E395,Products!A:B,2,FALSE),"")</f>
        <v/>
      </c>
      <c r="H395" t="str">
        <f>IFERROR(VLOOKUP(E395,Products!A:H,8,FALSE),"")</f>
        <v/>
      </c>
      <c r="J395" t="str">
        <f t="shared" si="6"/>
        <v/>
      </c>
      <c r="K395" t="str">
        <f>IFERROR((H395-VLOOKUP(E395,Products!A:G,7,FALSE))*G395,"")</f>
        <v/>
      </c>
    </row>
    <row r="396" spans="6:11" x14ac:dyDescent="0.25">
      <c r="F396" t="str">
        <f>IFERROR(VLOOKUP(E396,Products!A:B,2,FALSE),"")</f>
        <v/>
      </c>
      <c r="H396" t="str">
        <f>IFERROR(VLOOKUP(E396,Products!A:H,8,FALSE),"")</f>
        <v/>
      </c>
      <c r="J396" t="str">
        <f t="shared" si="6"/>
        <v/>
      </c>
      <c r="K396" t="str">
        <f>IFERROR((H396-VLOOKUP(E396,Products!A:G,7,FALSE))*G396,"")</f>
        <v/>
      </c>
    </row>
    <row r="397" spans="6:11" x14ac:dyDescent="0.25">
      <c r="F397" t="str">
        <f>IFERROR(VLOOKUP(E397,Products!A:B,2,FALSE),"")</f>
        <v/>
      </c>
      <c r="H397" t="str">
        <f>IFERROR(VLOOKUP(E397,Products!A:H,8,FALSE),"")</f>
        <v/>
      </c>
      <c r="J397" t="str">
        <f t="shared" si="6"/>
        <v/>
      </c>
      <c r="K397" t="str">
        <f>IFERROR((H397-VLOOKUP(E397,Products!A:G,7,FALSE))*G397,"")</f>
        <v/>
      </c>
    </row>
    <row r="398" spans="6:11" x14ac:dyDescent="0.25">
      <c r="F398" t="str">
        <f>IFERROR(VLOOKUP(E398,Products!A:B,2,FALSE),"")</f>
        <v/>
      </c>
      <c r="H398" t="str">
        <f>IFERROR(VLOOKUP(E398,Products!A:H,8,FALSE),"")</f>
        <v/>
      </c>
      <c r="J398" t="str">
        <f t="shared" si="6"/>
        <v/>
      </c>
      <c r="K398" t="str">
        <f>IFERROR((H398-VLOOKUP(E398,Products!A:G,7,FALSE))*G398,"")</f>
        <v/>
      </c>
    </row>
    <row r="399" spans="6:11" x14ac:dyDescent="0.25">
      <c r="F399" t="str">
        <f>IFERROR(VLOOKUP(E399,Products!A:B,2,FALSE),"")</f>
        <v/>
      </c>
      <c r="H399" t="str">
        <f>IFERROR(VLOOKUP(E399,Products!A:H,8,FALSE),"")</f>
        <v/>
      </c>
      <c r="J399" t="str">
        <f t="shared" si="6"/>
        <v/>
      </c>
      <c r="K399" t="str">
        <f>IFERROR((H399-VLOOKUP(E399,Products!A:G,7,FALSE))*G399,"")</f>
        <v/>
      </c>
    </row>
    <row r="400" spans="6:11" x14ac:dyDescent="0.25">
      <c r="F400" t="str">
        <f>IFERROR(VLOOKUP(E400,Products!A:B,2,FALSE),"")</f>
        <v/>
      </c>
      <c r="H400" t="str">
        <f>IFERROR(VLOOKUP(E400,Products!A:H,8,FALSE),"")</f>
        <v/>
      </c>
      <c r="J400" t="str">
        <f t="shared" si="6"/>
        <v/>
      </c>
      <c r="K400" t="str">
        <f>IFERROR((H400-VLOOKUP(E400,Products!A:G,7,FALSE))*G400,"")</f>
        <v/>
      </c>
    </row>
    <row r="401" spans="6:11" x14ac:dyDescent="0.25">
      <c r="F401" t="str">
        <f>IFERROR(VLOOKUP(E401,Products!A:B,2,FALSE),"")</f>
        <v/>
      </c>
      <c r="H401" t="str">
        <f>IFERROR(VLOOKUP(E401,Products!A:H,8,FALSE),"")</f>
        <v/>
      </c>
      <c r="J401" t="str">
        <f t="shared" si="6"/>
        <v/>
      </c>
      <c r="K401" t="str">
        <f>IFERROR((H401-VLOOKUP(E401,Products!A:G,7,FALSE))*G401,"")</f>
        <v/>
      </c>
    </row>
    <row r="402" spans="6:11" x14ac:dyDescent="0.25">
      <c r="F402" t="str">
        <f>IFERROR(VLOOKUP(E402,Products!A:B,2,FALSE),"")</f>
        <v/>
      </c>
      <c r="H402" t="str">
        <f>IFERROR(VLOOKUP(E402,Products!A:H,8,FALSE),"")</f>
        <v/>
      </c>
      <c r="J402" t="str">
        <f t="shared" si="6"/>
        <v/>
      </c>
      <c r="K402" t="str">
        <f>IFERROR((H402-VLOOKUP(E402,Products!A:G,7,FALSE))*G402,"")</f>
        <v/>
      </c>
    </row>
    <row r="403" spans="6:11" x14ac:dyDescent="0.25">
      <c r="F403" t="str">
        <f>IFERROR(VLOOKUP(E403,Products!A:B,2,FALSE),"")</f>
        <v/>
      </c>
      <c r="H403" t="str">
        <f>IFERROR(VLOOKUP(E403,Products!A:H,8,FALSE),"")</f>
        <v/>
      </c>
      <c r="J403" t="str">
        <f t="shared" si="6"/>
        <v/>
      </c>
      <c r="K403" t="str">
        <f>IFERROR((H403-VLOOKUP(E403,Products!A:G,7,FALSE))*G403,"")</f>
        <v/>
      </c>
    </row>
    <row r="404" spans="6:11" x14ac:dyDescent="0.25">
      <c r="F404" t="str">
        <f>IFERROR(VLOOKUP(E404,Products!A:B,2,FALSE),"")</f>
        <v/>
      </c>
      <c r="H404" t="str">
        <f>IFERROR(VLOOKUP(E404,Products!A:H,8,FALSE),"")</f>
        <v/>
      </c>
      <c r="J404" t="str">
        <f t="shared" si="6"/>
        <v/>
      </c>
      <c r="K404" t="str">
        <f>IFERROR((H404-VLOOKUP(E404,Products!A:G,7,FALSE))*G404,"")</f>
        <v/>
      </c>
    </row>
    <row r="405" spans="6:11" x14ac:dyDescent="0.25">
      <c r="F405" t="str">
        <f>IFERROR(VLOOKUP(E405,Products!A:B,2,FALSE),"")</f>
        <v/>
      </c>
      <c r="H405" t="str">
        <f>IFERROR(VLOOKUP(E405,Products!A:H,8,FALSE),"")</f>
        <v/>
      </c>
      <c r="J405" t="str">
        <f t="shared" si="6"/>
        <v/>
      </c>
      <c r="K405" t="str">
        <f>IFERROR((H405-VLOOKUP(E405,Products!A:G,7,FALSE))*G405,"")</f>
        <v/>
      </c>
    </row>
    <row r="406" spans="6:11" x14ac:dyDescent="0.25">
      <c r="F406" t="str">
        <f>IFERROR(VLOOKUP(E406,Products!A:B,2,FALSE),"")</f>
        <v/>
      </c>
      <c r="H406" t="str">
        <f>IFERROR(VLOOKUP(E406,Products!A:H,8,FALSE),"")</f>
        <v/>
      </c>
      <c r="J406" t="str">
        <f t="shared" si="6"/>
        <v/>
      </c>
      <c r="K406" t="str">
        <f>IFERROR((H406-VLOOKUP(E406,Products!A:G,7,FALSE))*G406,"")</f>
        <v/>
      </c>
    </row>
    <row r="407" spans="6:11" x14ac:dyDescent="0.25">
      <c r="F407" t="str">
        <f>IFERROR(VLOOKUP(E407,Products!A:B,2,FALSE),"")</f>
        <v/>
      </c>
      <c r="H407" t="str">
        <f>IFERROR(VLOOKUP(E407,Products!A:H,8,FALSE),"")</f>
        <v/>
      </c>
      <c r="J407" t="str">
        <f t="shared" si="6"/>
        <v/>
      </c>
      <c r="K407" t="str">
        <f>IFERROR((H407-VLOOKUP(E407,Products!A:G,7,FALSE))*G407,"")</f>
        <v/>
      </c>
    </row>
    <row r="408" spans="6:11" x14ac:dyDescent="0.25">
      <c r="F408" t="str">
        <f>IFERROR(VLOOKUP(E408,Products!A:B,2,FALSE),"")</f>
        <v/>
      </c>
      <c r="H408" t="str">
        <f>IFERROR(VLOOKUP(E408,Products!A:H,8,FALSE),"")</f>
        <v/>
      </c>
      <c r="J408" t="str">
        <f t="shared" si="6"/>
        <v/>
      </c>
      <c r="K408" t="str">
        <f>IFERROR((H408-VLOOKUP(E408,Products!A:G,7,FALSE))*G408,"")</f>
        <v/>
      </c>
    </row>
    <row r="409" spans="6:11" x14ac:dyDescent="0.25">
      <c r="F409" t="str">
        <f>IFERROR(VLOOKUP(E409,Products!A:B,2,FALSE),"")</f>
        <v/>
      </c>
      <c r="H409" t="str">
        <f>IFERROR(VLOOKUP(E409,Products!A:H,8,FALSE),"")</f>
        <v/>
      </c>
      <c r="J409" t="str">
        <f t="shared" si="6"/>
        <v/>
      </c>
      <c r="K409" t="str">
        <f>IFERROR((H409-VLOOKUP(E409,Products!A:G,7,FALSE))*G409,"")</f>
        <v/>
      </c>
    </row>
    <row r="410" spans="6:11" x14ac:dyDescent="0.25">
      <c r="F410" t="str">
        <f>IFERROR(VLOOKUP(E410,Products!A:B,2,FALSE),"")</f>
        <v/>
      </c>
      <c r="H410" t="str">
        <f>IFERROR(VLOOKUP(E410,Products!A:H,8,FALSE),"")</f>
        <v/>
      </c>
      <c r="J410" t="str">
        <f t="shared" si="6"/>
        <v/>
      </c>
      <c r="K410" t="str">
        <f>IFERROR((H410-VLOOKUP(E410,Products!A:G,7,FALSE))*G410,"")</f>
        <v/>
      </c>
    </row>
    <row r="411" spans="6:11" x14ac:dyDescent="0.25">
      <c r="F411" t="str">
        <f>IFERROR(VLOOKUP(E411,Products!A:B,2,FALSE),"")</f>
        <v/>
      </c>
      <c r="H411" t="str">
        <f>IFERROR(VLOOKUP(E411,Products!A:H,8,FALSE),"")</f>
        <v/>
      </c>
      <c r="J411" t="str">
        <f t="shared" si="6"/>
        <v/>
      </c>
      <c r="K411" t="str">
        <f>IFERROR((H411-VLOOKUP(E411,Products!A:G,7,FALSE))*G411,"")</f>
        <v/>
      </c>
    </row>
    <row r="412" spans="6:11" x14ac:dyDescent="0.25">
      <c r="F412" t="str">
        <f>IFERROR(VLOOKUP(E412,Products!A:B,2,FALSE),"")</f>
        <v/>
      </c>
      <c r="H412" t="str">
        <f>IFERROR(VLOOKUP(E412,Products!A:H,8,FALSE),"")</f>
        <v/>
      </c>
      <c r="J412" t="str">
        <f t="shared" si="6"/>
        <v/>
      </c>
      <c r="K412" t="str">
        <f>IFERROR((H412-VLOOKUP(E412,Products!A:G,7,FALSE))*G412,"")</f>
        <v/>
      </c>
    </row>
    <row r="413" spans="6:11" x14ac:dyDescent="0.25">
      <c r="F413" t="str">
        <f>IFERROR(VLOOKUP(E413,Products!A:B,2,FALSE),"")</f>
        <v/>
      </c>
      <c r="H413" t="str">
        <f>IFERROR(VLOOKUP(E413,Products!A:H,8,FALSE),"")</f>
        <v/>
      </c>
      <c r="J413" t="str">
        <f t="shared" si="6"/>
        <v/>
      </c>
      <c r="K413" t="str">
        <f>IFERROR((H413-VLOOKUP(E413,Products!A:G,7,FALSE))*G413,"")</f>
        <v/>
      </c>
    </row>
    <row r="414" spans="6:11" x14ac:dyDescent="0.25">
      <c r="F414" t="str">
        <f>IFERROR(VLOOKUP(E414,Products!A:B,2,FALSE),"")</f>
        <v/>
      </c>
      <c r="H414" t="str">
        <f>IFERROR(VLOOKUP(E414,Products!A:H,8,FALSE),"")</f>
        <v/>
      </c>
      <c r="J414" t="str">
        <f t="shared" si="6"/>
        <v/>
      </c>
      <c r="K414" t="str">
        <f>IFERROR((H414-VLOOKUP(E414,Products!A:G,7,FALSE))*G414,"")</f>
        <v/>
      </c>
    </row>
    <row r="415" spans="6:11" x14ac:dyDescent="0.25">
      <c r="F415" t="str">
        <f>IFERROR(VLOOKUP(E415,Products!A:B,2,FALSE),"")</f>
        <v/>
      </c>
      <c r="H415" t="str">
        <f>IFERROR(VLOOKUP(E415,Products!A:H,8,FALSE),"")</f>
        <v/>
      </c>
      <c r="J415" t="str">
        <f t="shared" si="6"/>
        <v/>
      </c>
      <c r="K415" t="str">
        <f>IFERROR((H415-VLOOKUP(E415,Products!A:G,7,FALSE))*G415,"")</f>
        <v/>
      </c>
    </row>
    <row r="416" spans="6:11" x14ac:dyDescent="0.25">
      <c r="F416" t="str">
        <f>IFERROR(VLOOKUP(E416,Products!A:B,2,FALSE),"")</f>
        <v/>
      </c>
      <c r="H416" t="str">
        <f>IFERROR(VLOOKUP(E416,Products!A:H,8,FALSE),"")</f>
        <v/>
      </c>
      <c r="J416" t="str">
        <f t="shared" si="6"/>
        <v/>
      </c>
      <c r="K416" t="str">
        <f>IFERROR((H416-VLOOKUP(E416,Products!A:G,7,FALSE))*G416,"")</f>
        <v/>
      </c>
    </row>
    <row r="417" spans="6:11" x14ac:dyDescent="0.25">
      <c r="F417" t="str">
        <f>IFERROR(VLOOKUP(E417,Products!A:B,2,FALSE),"")</f>
        <v/>
      </c>
      <c r="H417" t="str">
        <f>IFERROR(VLOOKUP(E417,Products!A:H,8,FALSE),"")</f>
        <v/>
      </c>
      <c r="J417" t="str">
        <f t="shared" si="6"/>
        <v/>
      </c>
      <c r="K417" t="str">
        <f>IFERROR((H417-VLOOKUP(E417,Products!A:G,7,FALSE))*G417,"")</f>
        <v/>
      </c>
    </row>
    <row r="418" spans="6:11" x14ac:dyDescent="0.25">
      <c r="F418" t="str">
        <f>IFERROR(VLOOKUP(E418,Products!A:B,2,FALSE),"")</f>
        <v/>
      </c>
      <c r="H418" t="str">
        <f>IFERROR(VLOOKUP(E418,Products!A:H,8,FALSE),"")</f>
        <v/>
      </c>
      <c r="J418" t="str">
        <f t="shared" si="6"/>
        <v/>
      </c>
      <c r="K418" t="str">
        <f>IFERROR((H418-VLOOKUP(E418,Products!A:G,7,FALSE))*G418,"")</f>
        <v/>
      </c>
    </row>
    <row r="419" spans="6:11" x14ac:dyDescent="0.25">
      <c r="F419" t="str">
        <f>IFERROR(VLOOKUP(E419,Products!A:B,2,FALSE),"")</f>
        <v/>
      </c>
      <c r="H419" t="str">
        <f>IFERROR(VLOOKUP(E419,Products!A:H,8,FALSE),"")</f>
        <v/>
      </c>
      <c r="J419" t="str">
        <f t="shared" si="6"/>
        <v/>
      </c>
      <c r="K419" t="str">
        <f>IFERROR((H419-VLOOKUP(E419,Products!A:G,7,FALSE))*G419,"")</f>
        <v/>
      </c>
    </row>
    <row r="420" spans="6:11" x14ac:dyDescent="0.25">
      <c r="F420" t="str">
        <f>IFERROR(VLOOKUP(E420,Products!A:B,2,FALSE),"")</f>
        <v/>
      </c>
      <c r="H420" t="str">
        <f>IFERROR(VLOOKUP(E420,Products!A:H,8,FALSE),"")</f>
        <v/>
      </c>
      <c r="J420" t="str">
        <f t="shared" si="6"/>
        <v/>
      </c>
      <c r="K420" t="str">
        <f>IFERROR((H420-VLOOKUP(E420,Products!A:G,7,FALSE))*G420,"")</f>
        <v/>
      </c>
    </row>
    <row r="421" spans="6:11" x14ac:dyDescent="0.25">
      <c r="F421" t="str">
        <f>IFERROR(VLOOKUP(E421,Products!A:B,2,FALSE),"")</f>
        <v/>
      </c>
      <c r="H421" t="str">
        <f>IFERROR(VLOOKUP(E421,Products!A:H,8,FALSE),"")</f>
        <v/>
      </c>
      <c r="J421" t="str">
        <f t="shared" si="6"/>
        <v/>
      </c>
      <c r="K421" t="str">
        <f>IFERROR((H421-VLOOKUP(E421,Products!A:G,7,FALSE))*G421,"")</f>
        <v/>
      </c>
    </row>
    <row r="422" spans="6:11" x14ac:dyDescent="0.25">
      <c r="F422" t="str">
        <f>IFERROR(VLOOKUP(E422,Products!A:B,2,FALSE),"")</f>
        <v/>
      </c>
      <c r="H422" t="str">
        <f>IFERROR(VLOOKUP(E422,Products!A:H,8,FALSE),"")</f>
        <v/>
      </c>
      <c r="J422" t="str">
        <f t="shared" si="6"/>
        <v/>
      </c>
      <c r="K422" t="str">
        <f>IFERROR((H422-VLOOKUP(E422,Products!A:G,7,FALSE))*G422,"")</f>
        <v/>
      </c>
    </row>
    <row r="423" spans="6:11" x14ac:dyDescent="0.25">
      <c r="F423" t="str">
        <f>IFERROR(VLOOKUP(E423,Products!A:B,2,FALSE),"")</f>
        <v/>
      </c>
      <c r="H423" t="str">
        <f>IFERROR(VLOOKUP(E423,Products!A:H,8,FALSE),"")</f>
        <v/>
      </c>
      <c r="J423" t="str">
        <f t="shared" si="6"/>
        <v/>
      </c>
      <c r="K423" t="str">
        <f>IFERROR((H423-VLOOKUP(E423,Products!A:G,7,FALSE))*G423,"")</f>
        <v/>
      </c>
    </row>
    <row r="424" spans="6:11" x14ac:dyDescent="0.25">
      <c r="F424" t="str">
        <f>IFERROR(VLOOKUP(E424,Products!A:B,2,FALSE),"")</f>
        <v/>
      </c>
      <c r="H424" t="str">
        <f>IFERROR(VLOOKUP(E424,Products!A:H,8,FALSE),"")</f>
        <v/>
      </c>
      <c r="J424" t="str">
        <f t="shared" si="6"/>
        <v/>
      </c>
      <c r="K424" t="str">
        <f>IFERROR((H424-VLOOKUP(E424,Products!A:G,7,FALSE))*G424,"")</f>
        <v/>
      </c>
    </row>
    <row r="425" spans="6:11" x14ac:dyDescent="0.25">
      <c r="F425" t="str">
        <f>IFERROR(VLOOKUP(E425,Products!A:B,2,FALSE),"")</f>
        <v/>
      </c>
      <c r="H425" t="str">
        <f>IFERROR(VLOOKUP(E425,Products!A:H,8,FALSE),"")</f>
        <v/>
      </c>
      <c r="J425" t="str">
        <f t="shared" si="6"/>
        <v/>
      </c>
      <c r="K425" t="str">
        <f>IFERROR((H425-VLOOKUP(E425,Products!A:G,7,FALSE))*G425,"")</f>
        <v/>
      </c>
    </row>
    <row r="426" spans="6:11" x14ac:dyDescent="0.25">
      <c r="F426" t="str">
        <f>IFERROR(VLOOKUP(E426,Products!A:B,2,FALSE),"")</f>
        <v/>
      </c>
      <c r="H426" t="str">
        <f>IFERROR(VLOOKUP(E426,Products!A:H,8,FALSE),"")</f>
        <v/>
      </c>
      <c r="J426" t="str">
        <f t="shared" si="6"/>
        <v/>
      </c>
      <c r="K426" t="str">
        <f>IFERROR((H426-VLOOKUP(E426,Products!A:G,7,FALSE))*G426,"")</f>
        <v/>
      </c>
    </row>
    <row r="427" spans="6:11" x14ac:dyDescent="0.25">
      <c r="F427" t="str">
        <f>IFERROR(VLOOKUP(E427,Products!A:B,2,FALSE),"")</f>
        <v/>
      </c>
      <c r="H427" t="str">
        <f>IFERROR(VLOOKUP(E427,Products!A:H,8,FALSE),"")</f>
        <v/>
      </c>
      <c r="J427" t="str">
        <f t="shared" si="6"/>
        <v/>
      </c>
      <c r="K427" t="str">
        <f>IFERROR((H427-VLOOKUP(E427,Products!A:G,7,FALSE))*G427,"")</f>
        <v/>
      </c>
    </row>
    <row r="428" spans="6:11" x14ac:dyDescent="0.25">
      <c r="F428" t="str">
        <f>IFERROR(VLOOKUP(E428,Products!A:B,2,FALSE),"")</f>
        <v/>
      </c>
      <c r="H428" t="str">
        <f>IFERROR(VLOOKUP(E428,Products!A:H,8,FALSE),"")</f>
        <v/>
      </c>
      <c r="J428" t="str">
        <f t="shared" si="6"/>
        <v/>
      </c>
      <c r="K428" t="str">
        <f>IFERROR((H428-VLOOKUP(E428,Products!A:G,7,FALSE))*G428,"")</f>
        <v/>
      </c>
    </row>
    <row r="429" spans="6:11" x14ac:dyDescent="0.25">
      <c r="F429" t="str">
        <f>IFERROR(VLOOKUP(E429,Products!A:B,2,FALSE),"")</f>
        <v/>
      </c>
      <c r="H429" t="str">
        <f>IFERROR(VLOOKUP(E429,Products!A:H,8,FALSE),"")</f>
        <v/>
      </c>
      <c r="J429" t="str">
        <f t="shared" si="6"/>
        <v/>
      </c>
      <c r="K429" t="str">
        <f>IFERROR((H429-VLOOKUP(E429,Products!A:G,7,FALSE))*G429,"")</f>
        <v/>
      </c>
    </row>
    <row r="430" spans="6:11" x14ac:dyDescent="0.25">
      <c r="F430" t="str">
        <f>IFERROR(VLOOKUP(E430,Products!A:B,2,FALSE),"")</f>
        <v/>
      </c>
      <c r="H430" t="str">
        <f>IFERROR(VLOOKUP(E430,Products!A:H,8,FALSE),"")</f>
        <v/>
      </c>
      <c r="J430" t="str">
        <f t="shared" si="6"/>
        <v/>
      </c>
      <c r="K430" t="str">
        <f>IFERROR((H430-VLOOKUP(E430,Products!A:G,7,FALSE))*G430,"")</f>
        <v/>
      </c>
    </row>
    <row r="431" spans="6:11" x14ac:dyDescent="0.25">
      <c r="F431" t="str">
        <f>IFERROR(VLOOKUP(E431,Products!A:B,2,FALSE),"")</f>
        <v/>
      </c>
      <c r="H431" t="str">
        <f>IFERROR(VLOOKUP(E431,Products!A:H,8,FALSE),"")</f>
        <v/>
      </c>
      <c r="J431" t="str">
        <f t="shared" si="6"/>
        <v/>
      </c>
      <c r="K431" t="str">
        <f>IFERROR((H431-VLOOKUP(E431,Products!A:G,7,FALSE))*G431,"")</f>
        <v/>
      </c>
    </row>
    <row r="432" spans="6:11" x14ac:dyDescent="0.25">
      <c r="F432" t="str">
        <f>IFERROR(VLOOKUP(E432,Products!A:B,2,FALSE),"")</f>
        <v/>
      </c>
      <c r="H432" t="str">
        <f>IFERROR(VLOOKUP(E432,Products!A:H,8,FALSE),"")</f>
        <v/>
      </c>
      <c r="J432" t="str">
        <f t="shared" si="6"/>
        <v/>
      </c>
      <c r="K432" t="str">
        <f>IFERROR((H432-VLOOKUP(E432,Products!A:G,7,FALSE))*G432,"")</f>
        <v/>
      </c>
    </row>
    <row r="433" spans="6:11" x14ac:dyDescent="0.25">
      <c r="F433" t="str">
        <f>IFERROR(VLOOKUP(E433,Products!A:B,2,FALSE),"")</f>
        <v/>
      </c>
      <c r="H433" t="str">
        <f>IFERROR(VLOOKUP(E433,Products!A:H,8,FALSE),"")</f>
        <v/>
      </c>
      <c r="J433" t="str">
        <f t="shared" si="6"/>
        <v/>
      </c>
      <c r="K433" t="str">
        <f>IFERROR((H433-VLOOKUP(E433,Products!A:G,7,FALSE))*G433,"")</f>
        <v/>
      </c>
    </row>
    <row r="434" spans="6:11" x14ac:dyDescent="0.25">
      <c r="F434" t="str">
        <f>IFERROR(VLOOKUP(E434,Products!A:B,2,FALSE),"")</f>
        <v/>
      </c>
      <c r="H434" t="str">
        <f>IFERROR(VLOOKUP(E434,Products!A:H,8,FALSE),"")</f>
        <v/>
      </c>
      <c r="J434" t="str">
        <f t="shared" si="6"/>
        <v/>
      </c>
      <c r="K434" t="str">
        <f>IFERROR((H434-VLOOKUP(E434,Products!A:G,7,FALSE))*G434,"")</f>
        <v/>
      </c>
    </row>
    <row r="435" spans="6:11" x14ac:dyDescent="0.25">
      <c r="F435" t="str">
        <f>IFERROR(VLOOKUP(E435,Products!A:B,2,FALSE),"")</f>
        <v/>
      </c>
      <c r="H435" t="str">
        <f>IFERROR(VLOOKUP(E435,Products!A:H,8,FALSE),"")</f>
        <v/>
      </c>
      <c r="J435" t="str">
        <f t="shared" si="6"/>
        <v/>
      </c>
      <c r="K435" t="str">
        <f>IFERROR((H435-VLOOKUP(E435,Products!A:G,7,FALSE))*G435,"")</f>
        <v/>
      </c>
    </row>
    <row r="436" spans="6:11" x14ac:dyDescent="0.25">
      <c r="F436" t="str">
        <f>IFERROR(VLOOKUP(E436,Products!A:B,2,FALSE),"")</f>
        <v/>
      </c>
      <c r="H436" t="str">
        <f>IFERROR(VLOOKUP(E436,Products!A:H,8,FALSE),"")</f>
        <v/>
      </c>
      <c r="J436" t="str">
        <f t="shared" si="6"/>
        <v/>
      </c>
      <c r="K436" t="str">
        <f>IFERROR((H436-VLOOKUP(E436,Products!A:G,7,FALSE))*G436,"")</f>
        <v/>
      </c>
    </row>
    <row r="437" spans="6:11" x14ac:dyDescent="0.25">
      <c r="F437" t="str">
        <f>IFERROR(VLOOKUP(E437,Products!A:B,2,FALSE),"")</f>
        <v/>
      </c>
      <c r="H437" t="str">
        <f>IFERROR(VLOOKUP(E437,Products!A:H,8,FALSE),"")</f>
        <v/>
      </c>
      <c r="J437" t="str">
        <f t="shared" si="6"/>
        <v/>
      </c>
      <c r="K437" t="str">
        <f>IFERROR((H437-VLOOKUP(E437,Products!A:G,7,FALSE))*G437,"")</f>
        <v/>
      </c>
    </row>
    <row r="438" spans="6:11" x14ac:dyDescent="0.25">
      <c r="F438" t="str">
        <f>IFERROR(VLOOKUP(E438,Products!A:B,2,FALSE),"")</f>
        <v/>
      </c>
      <c r="H438" t="str">
        <f>IFERROR(VLOOKUP(E438,Products!A:H,8,FALSE),"")</f>
        <v/>
      </c>
      <c r="J438" t="str">
        <f t="shared" si="6"/>
        <v/>
      </c>
      <c r="K438" t="str">
        <f>IFERROR((H438-VLOOKUP(E438,Products!A:G,7,FALSE))*G438,"")</f>
        <v/>
      </c>
    </row>
    <row r="439" spans="6:11" x14ac:dyDescent="0.25">
      <c r="F439" t="str">
        <f>IFERROR(VLOOKUP(E439,Products!A:B,2,FALSE),"")</f>
        <v/>
      </c>
      <c r="H439" t="str">
        <f>IFERROR(VLOOKUP(E439,Products!A:H,8,FALSE),"")</f>
        <v/>
      </c>
      <c r="J439" t="str">
        <f t="shared" si="6"/>
        <v/>
      </c>
      <c r="K439" t="str">
        <f>IFERROR((H439-VLOOKUP(E439,Products!A:G,7,FALSE))*G439,"")</f>
        <v/>
      </c>
    </row>
    <row r="440" spans="6:11" x14ac:dyDescent="0.25">
      <c r="F440" t="str">
        <f>IFERROR(VLOOKUP(E440,Products!A:B,2,FALSE),"")</f>
        <v/>
      </c>
      <c r="H440" t="str">
        <f>IFERROR(VLOOKUP(E440,Products!A:H,8,FALSE),"")</f>
        <v/>
      </c>
      <c r="J440" t="str">
        <f t="shared" si="6"/>
        <v/>
      </c>
      <c r="K440" t="str">
        <f>IFERROR((H440-VLOOKUP(E440,Products!A:G,7,FALSE))*G440,"")</f>
        <v/>
      </c>
    </row>
    <row r="441" spans="6:11" x14ac:dyDescent="0.25">
      <c r="F441" t="str">
        <f>IFERROR(VLOOKUP(E441,Products!A:B,2,FALSE),"")</f>
        <v/>
      </c>
      <c r="H441" t="str">
        <f>IFERROR(VLOOKUP(E441,Products!A:H,8,FALSE),"")</f>
        <v/>
      </c>
      <c r="J441" t="str">
        <f t="shared" si="6"/>
        <v/>
      </c>
      <c r="K441" t="str">
        <f>IFERROR((H441-VLOOKUP(E441,Products!A:G,7,FALSE))*G441,"")</f>
        <v/>
      </c>
    </row>
    <row r="442" spans="6:11" x14ac:dyDescent="0.25">
      <c r="F442" t="str">
        <f>IFERROR(VLOOKUP(E442,Products!A:B,2,FALSE),"")</f>
        <v/>
      </c>
      <c r="H442" t="str">
        <f>IFERROR(VLOOKUP(E442,Products!A:H,8,FALSE),"")</f>
        <v/>
      </c>
      <c r="J442" t="str">
        <f t="shared" si="6"/>
        <v/>
      </c>
      <c r="K442" t="str">
        <f>IFERROR((H442-VLOOKUP(E442,Products!A:G,7,FALSE))*G442,"")</f>
        <v/>
      </c>
    </row>
    <row r="443" spans="6:11" x14ac:dyDescent="0.25">
      <c r="F443" t="str">
        <f>IFERROR(VLOOKUP(E443,Products!A:B,2,FALSE),"")</f>
        <v/>
      </c>
      <c r="H443" t="str">
        <f>IFERROR(VLOOKUP(E443,Products!A:H,8,FALSE),"")</f>
        <v/>
      </c>
      <c r="J443" t="str">
        <f t="shared" si="6"/>
        <v/>
      </c>
      <c r="K443" t="str">
        <f>IFERROR((H443-VLOOKUP(E443,Products!A:G,7,FALSE))*G443,"")</f>
        <v/>
      </c>
    </row>
    <row r="444" spans="6:11" x14ac:dyDescent="0.25">
      <c r="F444" t="str">
        <f>IFERROR(VLOOKUP(E444,Products!A:B,2,FALSE),"")</f>
        <v/>
      </c>
      <c r="H444" t="str">
        <f>IFERROR(VLOOKUP(E444,Products!A:H,8,FALSE),"")</f>
        <v/>
      </c>
      <c r="J444" t="str">
        <f t="shared" si="6"/>
        <v/>
      </c>
      <c r="K444" t="str">
        <f>IFERROR((H444-VLOOKUP(E444,Products!A:G,7,FALSE))*G444,"")</f>
        <v/>
      </c>
    </row>
    <row r="445" spans="6:11" x14ac:dyDescent="0.25">
      <c r="F445" t="str">
        <f>IFERROR(VLOOKUP(E445,Products!A:B,2,FALSE),"")</f>
        <v/>
      </c>
      <c r="H445" t="str">
        <f>IFERROR(VLOOKUP(E445,Products!A:H,8,FALSE),"")</f>
        <v/>
      </c>
      <c r="J445" t="str">
        <f t="shared" si="6"/>
        <v/>
      </c>
      <c r="K445" t="str">
        <f>IFERROR((H445-VLOOKUP(E445,Products!A:G,7,FALSE))*G445,"")</f>
        <v/>
      </c>
    </row>
    <row r="446" spans="6:11" x14ac:dyDescent="0.25">
      <c r="F446" t="str">
        <f>IFERROR(VLOOKUP(E446,Products!A:B,2,FALSE),"")</f>
        <v/>
      </c>
      <c r="H446" t="str">
        <f>IFERROR(VLOOKUP(E446,Products!A:H,8,FALSE),"")</f>
        <v/>
      </c>
      <c r="J446" t="str">
        <f t="shared" si="6"/>
        <v/>
      </c>
      <c r="K446" t="str">
        <f>IFERROR((H446-VLOOKUP(E446,Products!A:G,7,FALSE))*G446,"")</f>
        <v/>
      </c>
    </row>
    <row r="447" spans="6:11" x14ac:dyDescent="0.25">
      <c r="F447" t="str">
        <f>IFERROR(VLOOKUP(E447,Products!A:B,2,FALSE),"")</f>
        <v/>
      </c>
      <c r="H447" t="str">
        <f>IFERROR(VLOOKUP(E447,Products!A:H,8,FALSE),"")</f>
        <v/>
      </c>
      <c r="J447" t="str">
        <f t="shared" si="6"/>
        <v/>
      </c>
      <c r="K447" t="str">
        <f>IFERROR((H447-VLOOKUP(E447,Products!A:G,7,FALSE))*G447,"")</f>
        <v/>
      </c>
    </row>
    <row r="448" spans="6:11" x14ac:dyDescent="0.25">
      <c r="F448" t="str">
        <f>IFERROR(VLOOKUP(E448,Products!A:B,2,FALSE),"")</f>
        <v/>
      </c>
      <c r="H448" t="str">
        <f>IFERROR(VLOOKUP(E448,Products!A:H,8,FALSE),"")</f>
        <v/>
      </c>
      <c r="J448" t="str">
        <f t="shared" si="6"/>
        <v/>
      </c>
      <c r="K448" t="str">
        <f>IFERROR((H448-VLOOKUP(E448,Products!A:G,7,FALSE))*G448,"")</f>
        <v/>
      </c>
    </row>
    <row r="449" spans="6:11" x14ac:dyDescent="0.25">
      <c r="F449" t="str">
        <f>IFERROR(VLOOKUP(E449,Products!A:B,2,FALSE),"")</f>
        <v/>
      </c>
      <c r="H449" t="str">
        <f>IFERROR(VLOOKUP(E449,Products!A:H,8,FALSE),"")</f>
        <v/>
      </c>
      <c r="J449" t="str">
        <f t="shared" si="6"/>
        <v/>
      </c>
      <c r="K449" t="str">
        <f>IFERROR((H449-VLOOKUP(E449,Products!A:G,7,FALSE))*G449,"")</f>
        <v/>
      </c>
    </row>
    <row r="450" spans="6:11" x14ac:dyDescent="0.25">
      <c r="F450" t="str">
        <f>IFERROR(VLOOKUP(E450,Products!A:B,2,FALSE),"")</f>
        <v/>
      </c>
      <c r="H450" t="str">
        <f>IFERROR(VLOOKUP(E450,Products!A:H,8,FALSE),"")</f>
        <v/>
      </c>
      <c r="J450" t="str">
        <f t="shared" si="6"/>
        <v/>
      </c>
      <c r="K450" t="str">
        <f>IFERROR((H450-VLOOKUP(E450,Products!A:G,7,FALSE))*G450,"")</f>
        <v/>
      </c>
    </row>
    <row r="451" spans="6:11" x14ac:dyDescent="0.25">
      <c r="F451" t="str">
        <f>IFERROR(VLOOKUP(E451,Products!A:B,2,FALSE),"")</f>
        <v/>
      </c>
      <c r="H451" t="str">
        <f>IFERROR(VLOOKUP(E451,Products!A:H,8,FALSE),"")</f>
        <v/>
      </c>
      <c r="J451" t="str">
        <f t="shared" ref="J451:J500" si="7">IFERROR((G451*H451-I451),"")</f>
        <v/>
      </c>
      <c r="K451" t="str">
        <f>IFERROR((H451-VLOOKUP(E451,Products!A:G,7,FALSE))*G451,"")</f>
        <v/>
      </c>
    </row>
    <row r="452" spans="6:11" x14ac:dyDescent="0.25">
      <c r="F452" t="str">
        <f>IFERROR(VLOOKUP(E452,Products!A:B,2,FALSE),"")</f>
        <v/>
      </c>
      <c r="H452" t="str">
        <f>IFERROR(VLOOKUP(E452,Products!A:H,8,FALSE),"")</f>
        <v/>
      </c>
      <c r="J452" t="str">
        <f t="shared" si="7"/>
        <v/>
      </c>
      <c r="K452" t="str">
        <f>IFERROR((H452-VLOOKUP(E452,Products!A:G,7,FALSE))*G452,"")</f>
        <v/>
      </c>
    </row>
    <row r="453" spans="6:11" x14ac:dyDescent="0.25">
      <c r="F453" t="str">
        <f>IFERROR(VLOOKUP(E453,Products!A:B,2,FALSE),"")</f>
        <v/>
      </c>
      <c r="H453" t="str">
        <f>IFERROR(VLOOKUP(E453,Products!A:H,8,FALSE),"")</f>
        <v/>
      </c>
      <c r="J453" t="str">
        <f t="shared" si="7"/>
        <v/>
      </c>
      <c r="K453" t="str">
        <f>IFERROR((H453-VLOOKUP(E453,Products!A:G,7,FALSE))*G453,"")</f>
        <v/>
      </c>
    </row>
    <row r="454" spans="6:11" x14ac:dyDescent="0.25">
      <c r="F454" t="str">
        <f>IFERROR(VLOOKUP(E454,Products!A:B,2,FALSE),"")</f>
        <v/>
      </c>
      <c r="H454" t="str">
        <f>IFERROR(VLOOKUP(E454,Products!A:H,8,FALSE),"")</f>
        <v/>
      </c>
      <c r="J454" t="str">
        <f t="shared" si="7"/>
        <v/>
      </c>
      <c r="K454" t="str">
        <f>IFERROR((H454-VLOOKUP(E454,Products!A:G,7,FALSE))*G454,"")</f>
        <v/>
      </c>
    </row>
    <row r="455" spans="6:11" x14ac:dyDescent="0.25">
      <c r="F455" t="str">
        <f>IFERROR(VLOOKUP(E455,Products!A:B,2,FALSE),"")</f>
        <v/>
      </c>
      <c r="H455" t="str">
        <f>IFERROR(VLOOKUP(E455,Products!A:H,8,FALSE),"")</f>
        <v/>
      </c>
      <c r="J455" t="str">
        <f t="shared" si="7"/>
        <v/>
      </c>
      <c r="K455" t="str">
        <f>IFERROR((H455-VLOOKUP(E455,Products!A:G,7,FALSE))*G455,"")</f>
        <v/>
      </c>
    </row>
    <row r="456" spans="6:11" x14ac:dyDescent="0.25">
      <c r="F456" t="str">
        <f>IFERROR(VLOOKUP(E456,Products!A:B,2,FALSE),"")</f>
        <v/>
      </c>
      <c r="H456" t="str">
        <f>IFERROR(VLOOKUP(E456,Products!A:H,8,FALSE),"")</f>
        <v/>
      </c>
      <c r="J456" t="str">
        <f t="shared" si="7"/>
        <v/>
      </c>
      <c r="K456" t="str">
        <f>IFERROR((H456-VLOOKUP(E456,Products!A:G,7,FALSE))*G456,"")</f>
        <v/>
      </c>
    </row>
    <row r="457" spans="6:11" x14ac:dyDescent="0.25">
      <c r="F457" t="str">
        <f>IFERROR(VLOOKUP(E457,Products!A:B,2,FALSE),"")</f>
        <v/>
      </c>
      <c r="H457" t="str">
        <f>IFERROR(VLOOKUP(E457,Products!A:H,8,FALSE),"")</f>
        <v/>
      </c>
      <c r="J457" t="str">
        <f t="shared" si="7"/>
        <v/>
      </c>
      <c r="K457" t="str">
        <f>IFERROR((H457-VLOOKUP(E457,Products!A:G,7,FALSE))*G457,"")</f>
        <v/>
      </c>
    </row>
    <row r="458" spans="6:11" x14ac:dyDescent="0.25">
      <c r="F458" t="str">
        <f>IFERROR(VLOOKUP(E458,Products!A:B,2,FALSE),"")</f>
        <v/>
      </c>
      <c r="H458" t="str">
        <f>IFERROR(VLOOKUP(E458,Products!A:H,8,FALSE),"")</f>
        <v/>
      </c>
      <c r="J458" t="str">
        <f t="shared" si="7"/>
        <v/>
      </c>
      <c r="K458" t="str">
        <f>IFERROR((H458-VLOOKUP(E458,Products!A:G,7,FALSE))*G458,"")</f>
        <v/>
      </c>
    </row>
    <row r="459" spans="6:11" x14ac:dyDescent="0.25">
      <c r="F459" t="str">
        <f>IFERROR(VLOOKUP(E459,Products!A:B,2,FALSE),"")</f>
        <v/>
      </c>
      <c r="H459" t="str">
        <f>IFERROR(VLOOKUP(E459,Products!A:H,8,FALSE),"")</f>
        <v/>
      </c>
      <c r="J459" t="str">
        <f t="shared" si="7"/>
        <v/>
      </c>
      <c r="K459" t="str">
        <f>IFERROR((H459-VLOOKUP(E459,Products!A:G,7,FALSE))*G459,"")</f>
        <v/>
      </c>
    </row>
    <row r="460" spans="6:11" x14ac:dyDescent="0.25">
      <c r="F460" t="str">
        <f>IFERROR(VLOOKUP(E460,Products!A:B,2,FALSE),"")</f>
        <v/>
      </c>
      <c r="H460" t="str">
        <f>IFERROR(VLOOKUP(E460,Products!A:H,8,FALSE),"")</f>
        <v/>
      </c>
      <c r="J460" t="str">
        <f t="shared" si="7"/>
        <v/>
      </c>
      <c r="K460" t="str">
        <f>IFERROR((H460-VLOOKUP(E460,Products!A:G,7,FALSE))*G460,"")</f>
        <v/>
      </c>
    </row>
    <row r="461" spans="6:11" x14ac:dyDescent="0.25">
      <c r="F461" t="str">
        <f>IFERROR(VLOOKUP(E461,Products!A:B,2,FALSE),"")</f>
        <v/>
      </c>
      <c r="H461" t="str">
        <f>IFERROR(VLOOKUP(E461,Products!A:H,8,FALSE),"")</f>
        <v/>
      </c>
      <c r="J461" t="str">
        <f t="shared" si="7"/>
        <v/>
      </c>
      <c r="K461" t="str">
        <f>IFERROR((H461-VLOOKUP(E461,Products!A:G,7,FALSE))*G461,"")</f>
        <v/>
      </c>
    </row>
    <row r="462" spans="6:11" x14ac:dyDescent="0.25">
      <c r="F462" t="str">
        <f>IFERROR(VLOOKUP(E462,Products!A:B,2,FALSE),"")</f>
        <v/>
      </c>
      <c r="H462" t="str">
        <f>IFERROR(VLOOKUP(E462,Products!A:H,8,FALSE),"")</f>
        <v/>
      </c>
      <c r="J462" t="str">
        <f t="shared" si="7"/>
        <v/>
      </c>
      <c r="K462" t="str">
        <f>IFERROR((H462-VLOOKUP(E462,Products!A:G,7,FALSE))*G462,"")</f>
        <v/>
      </c>
    </row>
    <row r="463" spans="6:11" x14ac:dyDescent="0.25">
      <c r="F463" t="str">
        <f>IFERROR(VLOOKUP(E463,Products!A:B,2,FALSE),"")</f>
        <v/>
      </c>
      <c r="H463" t="str">
        <f>IFERROR(VLOOKUP(E463,Products!A:H,8,FALSE),"")</f>
        <v/>
      </c>
      <c r="J463" t="str">
        <f t="shared" si="7"/>
        <v/>
      </c>
      <c r="K463" t="str">
        <f>IFERROR((H463-VLOOKUP(E463,Products!A:G,7,FALSE))*G463,"")</f>
        <v/>
      </c>
    </row>
    <row r="464" spans="6:11" x14ac:dyDescent="0.25">
      <c r="F464" t="str">
        <f>IFERROR(VLOOKUP(E464,Products!A:B,2,FALSE),"")</f>
        <v/>
      </c>
      <c r="H464" t="str">
        <f>IFERROR(VLOOKUP(E464,Products!A:H,8,FALSE),"")</f>
        <v/>
      </c>
      <c r="J464" t="str">
        <f t="shared" si="7"/>
        <v/>
      </c>
      <c r="K464" t="str">
        <f>IFERROR((H464-VLOOKUP(E464,Products!A:G,7,FALSE))*G464,"")</f>
        <v/>
      </c>
    </row>
    <row r="465" spans="6:11" x14ac:dyDescent="0.25">
      <c r="F465" t="str">
        <f>IFERROR(VLOOKUP(E465,Products!A:B,2,FALSE),"")</f>
        <v/>
      </c>
      <c r="H465" t="str">
        <f>IFERROR(VLOOKUP(E465,Products!A:H,8,FALSE),"")</f>
        <v/>
      </c>
      <c r="J465" t="str">
        <f t="shared" si="7"/>
        <v/>
      </c>
      <c r="K465" t="str">
        <f>IFERROR((H465-VLOOKUP(E465,Products!A:G,7,FALSE))*G465,"")</f>
        <v/>
      </c>
    </row>
    <row r="466" spans="6:11" x14ac:dyDescent="0.25">
      <c r="F466" t="str">
        <f>IFERROR(VLOOKUP(E466,Products!A:B,2,FALSE),"")</f>
        <v/>
      </c>
      <c r="H466" t="str">
        <f>IFERROR(VLOOKUP(E466,Products!A:H,8,FALSE),"")</f>
        <v/>
      </c>
      <c r="J466" t="str">
        <f t="shared" si="7"/>
        <v/>
      </c>
      <c r="K466" t="str">
        <f>IFERROR((H466-VLOOKUP(E466,Products!A:G,7,FALSE))*G466,"")</f>
        <v/>
      </c>
    </row>
    <row r="467" spans="6:11" x14ac:dyDescent="0.25">
      <c r="F467" t="str">
        <f>IFERROR(VLOOKUP(E467,Products!A:B,2,FALSE),"")</f>
        <v/>
      </c>
      <c r="H467" t="str">
        <f>IFERROR(VLOOKUP(E467,Products!A:H,8,FALSE),"")</f>
        <v/>
      </c>
      <c r="J467" t="str">
        <f t="shared" si="7"/>
        <v/>
      </c>
      <c r="K467" t="str">
        <f>IFERROR((H467-VLOOKUP(E467,Products!A:G,7,FALSE))*G467,"")</f>
        <v/>
      </c>
    </row>
    <row r="468" spans="6:11" x14ac:dyDescent="0.25">
      <c r="F468" t="str">
        <f>IFERROR(VLOOKUP(E468,Products!A:B,2,FALSE),"")</f>
        <v/>
      </c>
      <c r="H468" t="str">
        <f>IFERROR(VLOOKUP(E468,Products!A:H,8,FALSE),"")</f>
        <v/>
      </c>
      <c r="J468" t="str">
        <f t="shared" si="7"/>
        <v/>
      </c>
      <c r="K468" t="str">
        <f>IFERROR((H468-VLOOKUP(E468,Products!A:G,7,FALSE))*G468,"")</f>
        <v/>
      </c>
    </row>
    <row r="469" spans="6:11" x14ac:dyDescent="0.25">
      <c r="F469" t="str">
        <f>IFERROR(VLOOKUP(E469,Products!A:B,2,FALSE),"")</f>
        <v/>
      </c>
      <c r="H469" t="str">
        <f>IFERROR(VLOOKUP(E469,Products!A:H,8,FALSE),"")</f>
        <v/>
      </c>
      <c r="J469" t="str">
        <f t="shared" si="7"/>
        <v/>
      </c>
      <c r="K469" t="str">
        <f>IFERROR((H469-VLOOKUP(E469,Products!A:G,7,FALSE))*G469,"")</f>
        <v/>
      </c>
    </row>
    <row r="470" spans="6:11" x14ac:dyDescent="0.25">
      <c r="F470" t="str">
        <f>IFERROR(VLOOKUP(E470,Products!A:B,2,FALSE),"")</f>
        <v/>
      </c>
      <c r="H470" t="str">
        <f>IFERROR(VLOOKUP(E470,Products!A:H,8,FALSE),"")</f>
        <v/>
      </c>
      <c r="J470" t="str">
        <f t="shared" si="7"/>
        <v/>
      </c>
      <c r="K470" t="str">
        <f>IFERROR((H470-VLOOKUP(E470,Products!A:G,7,FALSE))*G470,"")</f>
        <v/>
      </c>
    </row>
    <row r="471" spans="6:11" x14ac:dyDescent="0.25">
      <c r="F471" t="str">
        <f>IFERROR(VLOOKUP(E471,Products!A:B,2,FALSE),"")</f>
        <v/>
      </c>
      <c r="H471" t="str">
        <f>IFERROR(VLOOKUP(E471,Products!A:H,8,FALSE),"")</f>
        <v/>
      </c>
      <c r="J471" t="str">
        <f t="shared" si="7"/>
        <v/>
      </c>
      <c r="K471" t="str">
        <f>IFERROR((H471-VLOOKUP(E471,Products!A:G,7,FALSE))*G471,"")</f>
        <v/>
      </c>
    </row>
    <row r="472" spans="6:11" x14ac:dyDescent="0.25">
      <c r="F472" t="str">
        <f>IFERROR(VLOOKUP(E472,Products!A:B,2,FALSE),"")</f>
        <v/>
      </c>
      <c r="H472" t="str">
        <f>IFERROR(VLOOKUP(E472,Products!A:H,8,FALSE),"")</f>
        <v/>
      </c>
      <c r="J472" t="str">
        <f t="shared" si="7"/>
        <v/>
      </c>
      <c r="K472" t="str">
        <f>IFERROR((H472-VLOOKUP(E472,Products!A:G,7,FALSE))*G472,"")</f>
        <v/>
      </c>
    </row>
    <row r="473" spans="6:11" x14ac:dyDescent="0.25">
      <c r="F473" t="str">
        <f>IFERROR(VLOOKUP(E473,Products!A:B,2,FALSE),"")</f>
        <v/>
      </c>
      <c r="H473" t="str">
        <f>IFERROR(VLOOKUP(E473,Products!A:H,8,FALSE),"")</f>
        <v/>
      </c>
      <c r="J473" t="str">
        <f t="shared" si="7"/>
        <v/>
      </c>
      <c r="K473" t="str">
        <f>IFERROR((H473-VLOOKUP(E473,Products!A:G,7,FALSE))*G473,"")</f>
        <v/>
      </c>
    </row>
    <row r="474" spans="6:11" x14ac:dyDescent="0.25">
      <c r="F474" t="str">
        <f>IFERROR(VLOOKUP(E474,Products!A:B,2,FALSE),"")</f>
        <v/>
      </c>
      <c r="H474" t="str">
        <f>IFERROR(VLOOKUP(E474,Products!A:H,8,FALSE),"")</f>
        <v/>
      </c>
      <c r="J474" t="str">
        <f t="shared" si="7"/>
        <v/>
      </c>
      <c r="K474" t="str">
        <f>IFERROR((H474-VLOOKUP(E474,Products!A:G,7,FALSE))*G474,"")</f>
        <v/>
      </c>
    </row>
    <row r="475" spans="6:11" x14ac:dyDescent="0.25">
      <c r="F475" t="str">
        <f>IFERROR(VLOOKUP(E475,Products!A:B,2,FALSE),"")</f>
        <v/>
      </c>
      <c r="H475" t="str">
        <f>IFERROR(VLOOKUP(E475,Products!A:H,8,FALSE),"")</f>
        <v/>
      </c>
      <c r="J475" t="str">
        <f t="shared" si="7"/>
        <v/>
      </c>
      <c r="K475" t="str">
        <f>IFERROR((H475-VLOOKUP(E475,Products!A:G,7,FALSE))*G475,"")</f>
        <v/>
      </c>
    </row>
    <row r="476" spans="6:11" x14ac:dyDescent="0.25">
      <c r="F476" t="str">
        <f>IFERROR(VLOOKUP(E476,Products!A:B,2,FALSE),"")</f>
        <v/>
      </c>
      <c r="H476" t="str">
        <f>IFERROR(VLOOKUP(E476,Products!A:H,8,FALSE),"")</f>
        <v/>
      </c>
      <c r="J476" t="str">
        <f t="shared" si="7"/>
        <v/>
      </c>
      <c r="K476" t="str">
        <f>IFERROR((H476-VLOOKUP(E476,Products!A:G,7,FALSE))*G476,"")</f>
        <v/>
      </c>
    </row>
    <row r="477" spans="6:11" x14ac:dyDescent="0.25">
      <c r="F477" t="str">
        <f>IFERROR(VLOOKUP(E477,Products!A:B,2,FALSE),"")</f>
        <v/>
      </c>
      <c r="H477" t="str">
        <f>IFERROR(VLOOKUP(E477,Products!A:H,8,FALSE),"")</f>
        <v/>
      </c>
      <c r="J477" t="str">
        <f t="shared" si="7"/>
        <v/>
      </c>
      <c r="K477" t="str">
        <f>IFERROR((H477-VLOOKUP(E477,Products!A:G,7,FALSE))*G477,"")</f>
        <v/>
      </c>
    </row>
    <row r="478" spans="6:11" x14ac:dyDescent="0.25">
      <c r="F478" t="str">
        <f>IFERROR(VLOOKUP(E478,Products!A:B,2,FALSE),"")</f>
        <v/>
      </c>
      <c r="H478" t="str">
        <f>IFERROR(VLOOKUP(E478,Products!A:H,8,FALSE),"")</f>
        <v/>
      </c>
      <c r="J478" t="str">
        <f t="shared" si="7"/>
        <v/>
      </c>
      <c r="K478" t="str">
        <f>IFERROR((H478-VLOOKUP(E478,Products!A:G,7,FALSE))*G478,"")</f>
        <v/>
      </c>
    </row>
    <row r="479" spans="6:11" x14ac:dyDescent="0.25">
      <c r="F479" t="str">
        <f>IFERROR(VLOOKUP(E479,Products!A:B,2,FALSE),"")</f>
        <v/>
      </c>
      <c r="H479" t="str">
        <f>IFERROR(VLOOKUP(E479,Products!A:H,8,FALSE),"")</f>
        <v/>
      </c>
      <c r="J479" t="str">
        <f t="shared" si="7"/>
        <v/>
      </c>
      <c r="K479" t="str">
        <f>IFERROR((H479-VLOOKUP(E479,Products!A:G,7,FALSE))*G479,"")</f>
        <v/>
      </c>
    </row>
    <row r="480" spans="6:11" x14ac:dyDescent="0.25">
      <c r="F480" t="str">
        <f>IFERROR(VLOOKUP(E480,Products!A:B,2,FALSE),"")</f>
        <v/>
      </c>
      <c r="H480" t="str">
        <f>IFERROR(VLOOKUP(E480,Products!A:H,8,FALSE),"")</f>
        <v/>
      </c>
      <c r="J480" t="str">
        <f t="shared" si="7"/>
        <v/>
      </c>
      <c r="K480" t="str">
        <f>IFERROR((H480-VLOOKUP(E480,Products!A:G,7,FALSE))*G480,"")</f>
        <v/>
      </c>
    </row>
    <row r="481" spans="6:11" x14ac:dyDescent="0.25">
      <c r="F481" t="str">
        <f>IFERROR(VLOOKUP(E481,Products!A:B,2,FALSE),"")</f>
        <v/>
      </c>
      <c r="H481" t="str">
        <f>IFERROR(VLOOKUP(E481,Products!A:H,8,FALSE),"")</f>
        <v/>
      </c>
      <c r="J481" t="str">
        <f t="shared" si="7"/>
        <v/>
      </c>
      <c r="K481" t="str">
        <f>IFERROR((H481-VLOOKUP(E481,Products!A:G,7,FALSE))*G481,"")</f>
        <v/>
      </c>
    </row>
    <row r="482" spans="6:11" x14ac:dyDescent="0.25">
      <c r="F482" t="str">
        <f>IFERROR(VLOOKUP(E482,Products!A:B,2,FALSE),"")</f>
        <v/>
      </c>
      <c r="H482" t="str">
        <f>IFERROR(VLOOKUP(E482,Products!A:H,8,FALSE),"")</f>
        <v/>
      </c>
      <c r="J482" t="str">
        <f t="shared" si="7"/>
        <v/>
      </c>
      <c r="K482" t="str">
        <f>IFERROR((H482-VLOOKUP(E482,Products!A:G,7,FALSE))*G482,"")</f>
        <v/>
      </c>
    </row>
    <row r="483" spans="6:11" x14ac:dyDescent="0.25">
      <c r="F483" t="str">
        <f>IFERROR(VLOOKUP(E483,Products!A:B,2,FALSE),"")</f>
        <v/>
      </c>
      <c r="H483" t="str">
        <f>IFERROR(VLOOKUP(E483,Products!A:H,8,FALSE),"")</f>
        <v/>
      </c>
      <c r="J483" t="str">
        <f t="shared" si="7"/>
        <v/>
      </c>
      <c r="K483" t="str">
        <f>IFERROR((H483-VLOOKUP(E483,Products!A:G,7,FALSE))*G483,"")</f>
        <v/>
      </c>
    </row>
    <row r="484" spans="6:11" x14ac:dyDescent="0.25">
      <c r="F484" t="str">
        <f>IFERROR(VLOOKUP(E484,Products!A:B,2,FALSE),"")</f>
        <v/>
      </c>
      <c r="H484" t="str">
        <f>IFERROR(VLOOKUP(E484,Products!A:H,8,FALSE),"")</f>
        <v/>
      </c>
      <c r="J484" t="str">
        <f t="shared" si="7"/>
        <v/>
      </c>
      <c r="K484" t="str">
        <f>IFERROR((H484-VLOOKUP(E484,Products!A:G,7,FALSE))*G484,"")</f>
        <v/>
      </c>
    </row>
    <row r="485" spans="6:11" x14ac:dyDescent="0.25">
      <c r="F485" t="str">
        <f>IFERROR(VLOOKUP(E485,Products!A:B,2,FALSE),"")</f>
        <v/>
      </c>
      <c r="H485" t="str">
        <f>IFERROR(VLOOKUP(E485,Products!A:H,8,FALSE),"")</f>
        <v/>
      </c>
      <c r="J485" t="str">
        <f t="shared" si="7"/>
        <v/>
      </c>
      <c r="K485" t="str">
        <f>IFERROR((H485-VLOOKUP(E485,Products!A:G,7,FALSE))*G485,"")</f>
        <v/>
      </c>
    </row>
    <row r="486" spans="6:11" x14ac:dyDescent="0.25">
      <c r="F486" t="str">
        <f>IFERROR(VLOOKUP(E486,Products!A:B,2,FALSE),"")</f>
        <v/>
      </c>
      <c r="H486" t="str">
        <f>IFERROR(VLOOKUP(E486,Products!A:H,8,FALSE),"")</f>
        <v/>
      </c>
      <c r="J486" t="str">
        <f t="shared" si="7"/>
        <v/>
      </c>
      <c r="K486" t="str">
        <f>IFERROR((H486-VLOOKUP(E486,Products!A:G,7,FALSE))*G486,"")</f>
        <v/>
      </c>
    </row>
    <row r="487" spans="6:11" x14ac:dyDescent="0.25">
      <c r="F487" t="str">
        <f>IFERROR(VLOOKUP(E487,Products!A:B,2,FALSE),"")</f>
        <v/>
      </c>
      <c r="H487" t="str">
        <f>IFERROR(VLOOKUP(E487,Products!A:H,8,FALSE),"")</f>
        <v/>
      </c>
      <c r="J487" t="str">
        <f t="shared" si="7"/>
        <v/>
      </c>
      <c r="K487" t="str">
        <f>IFERROR((H487-VLOOKUP(E487,Products!A:G,7,FALSE))*G487,"")</f>
        <v/>
      </c>
    </row>
    <row r="488" spans="6:11" x14ac:dyDescent="0.25">
      <c r="F488" t="str">
        <f>IFERROR(VLOOKUP(E488,Products!A:B,2,FALSE),"")</f>
        <v/>
      </c>
      <c r="H488" t="str">
        <f>IFERROR(VLOOKUP(E488,Products!A:H,8,FALSE),"")</f>
        <v/>
      </c>
      <c r="J488" t="str">
        <f t="shared" si="7"/>
        <v/>
      </c>
      <c r="K488" t="str">
        <f>IFERROR((H488-VLOOKUP(E488,Products!A:G,7,FALSE))*G488,"")</f>
        <v/>
      </c>
    </row>
    <row r="489" spans="6:11" x14ac:dyDescent="0.25">
      <c r="F489" t="str">
        <f>IFERROR(VLOOKUP(E489,Products!A:B,2,FALSE),"")</f>
        <v/>
      </c>
      <c r="H489" t="str">
        <f>IFERROR(VLOOKUP(E489,Products!A:H,8,FALSE),"")</f>
        <v/>
      </c>
      <c r="J489" t="str">
        <f t="shared" si="7"/>
        <v/>
      </c>
      <c r="K489" t="str">
        <f>IFERROR((H489-VLOOKUP(E489,Products!A:G,7,FALSE))*G489,"")</f>
        <v/>
      </c>
    </row>
    <row r="490" spans="6:11" x14ac:dyDescent="0.25">
      <c r="F490" t="str">
        <f>IFERROR(VLOOKUP(E490,Products!A:B,2,FALSE),"")</f>
        <v/>
      </c>
      <c r="H490" t="str">
        <f>IFERROR(VLOOKUP(E490,Products!A:H,8,FALSE),"")</f>
        <v/>
      </c>
      <c r="J490" t="str">
        <f t="shared" si="7"/>
        <v/>
      </c>
      <c r="K490" t="str">
        <f>IFERROR((H490-VLOOKUP(E490,Products!A:G,7,FALSE))*G490,"")</f>
        <v/>
      </c>
    </row>
    <row r="491" spans="6:11" x14ac:dyDescent="0.25">
      <c r="F491" t="str">
        <f>IFERROR(VLOOKUP(E491,Products!A:B,2,FALSE),"")</f>
        <v/>
      </c>
      <c r="H491" t="str">
        <f>IFERROR(VLOOKUP(E491,Products!A:H,8,FALSE),"")</f>
        <v/>
      </c>
      <c r="J491" t="str">
        <f t="shared" si="7"/>
        <v/>
      </c>
      <c r="K491" t="str">
        <f>IFERROR((H491-VLOOKUP(E491,Products!A:G,7,FALSE))*G491,"")</f>
        <v/>
      </c>
    </row>
    <row r="492" spans="6:11" x14ac:dyDescent="0.25">
      <c r="F492" t="str">
        <f>IFERROR(VLOOKUP(E492,Products!A:B,2,FALSE),"")</f>
        <v/>
      </c>
      <c r="H492" t="str">
        <f>IFERROR(VLOOKUP(E492,Products!A:H,8,FALSE),"")</f>
        <v/>
      </c>
      <c r="J492" t="str">
        <f t="shared" si="7"/>
        <v/>
      </c>
      <c r="K492" t="str">
        <f>IFERROR((H492-VLOOKUP(E492,Products!A:G,7,FALSE))*G492,"")</f>
        <v/>
      </c>
    </row>
    <row r="493" spans="6:11" x14ac:dyDescent="0.25">
      <c r="F493" t="str">
        <f>IFERROR(VLOOKUP(E493,Products!A:B,2,FALSE),"")</f>
        <v/>
      </c>
      <c r="H493" t="str">
        <f>IFERROR(VLOOKUP(E493,Products!A:H,8,FALSE),"")</f>
        <v/>
      </c>
      <c r="J493" t="str">
        <f t="shared" si="7"/>
        <v/>
      </c>
      <c r="K493" t="str">
        <f>IFERROR((H493-VLOOKUP(E493,Products!A:G,7,FALSE))*G493,"")</f>
        <v/>
      </c>
    </row>
    <row r="494" spans="6:11" x14ac:dyDescent="0.25">
      <c r="F494" t="str">
        <f>IFERROR(VLOOKUP(E494,Products!A:B,2,FALSE),"")</f>
        <v/>
      </c>
      <c r="H494" t="str">
        <f>IFERROR(VLOOKUP(E494,Products!A:H,8,FALSE),"")</f>
        <v/>
      </c>
      <c r="J494" t="str">
        <f t="shared" si="7"/>
        <v/>
      </c>
      <c r="K494" t="str">
        <f>IFERROR((H494-VLOOKUP(E494,Products!A:G,7,FALSE))*G494,"")</f>
        <v/>
      </c>
    </row>
    <row r="495" spans="6:11" x14ac:dyDescent="0.25">
      <c r="F495" t="str">
        <f>IFERROR(VLOOKUP(E495,Products!A:B,2,FALSE),"")</f>
        <v/>
      </c>
      <c r="H495" t="str">
        <f>IFERROR(VLOOKUP(E495,Products!A:H,8,FALSE),"")</f>
        <v/>
      </c>
      <c r="J495" t="str">
        <f t="shared" si="7"/>
        <v/>
      </c>
      <c r="K495" t="str">
        <f>IFERROR((H495-VLOOKUP(E495,Products!A:G,7,FALSE))*G495,"")</f>
        <v/>
      </c>
    </row>
    <row r="496" spans="6:11" x14ac:dyDescent="0.25">
      <c r="F496" t="str">
        <f>IFERROR(VLOOKUP(E496,Products!A:B,2,FALSE),"")</f>
        <v/>
      </c>
      <c r="H496" t="str">
        <f>IFERROR(VLOOKUP(E496,Products!A:H,8,FALSE),"")</f>
        <v/>
      </c>
      <c r="J496" t="str">
        <f t="shared" si="7"/>
        <v/>
      </c>
      <c r="K496" t="str">
        <f>IFERROR((H496-VLOOKUP(E496,Products!A:G,7,FALSE))*G496,"")</f>
        <v/>
      </c>
    </row>
    <row r="497" spans="6:11" x14ac:dyDescent="0.25">
      <c r="F497" t="str">
        <f>IFERROR(VLOOKUP(E497,Products!A:B,2,FALSE),"")</f>
        <v/>
      </c>
      <c r="H497" t="str">
        <f>IFERROR(VLOOKUP(E497,Products!A:H,8,FALSE),"")</f>
        <v/>
      </c>
      <c r="J497" t="str">
        <f t="shared" si="7"/>
        <v/>
      </c>
      <c r="K497" t="str">
        <f>IFERROR((H497-VLOOKUP(E497,Products!A:G,7,FALSE))*G497,"")</f>
        <v/>
      </c>
    </row>
    <row r="498" spans="6:11" x14ac:dyDescent="0.25">
      <c r="F498" t="str">
        <f>IFERROR(VLOOKUP(E498,Products!A:B,2,FALSE),"")</f>
        <v/>
      </c>
      <c r="H498" t="str">
        <f>IFERROR(VLOOKUP(E498,Products!A:H,8,FALSE),"")</f>
        <v/>
      </c>
      <c r="J498" t="str">
        <f t="shared" si="7"/>
        <v/>
      </c>
      <c r="K498" t="str">
        <f>IFERROR((H498-VLOOKUP(E498,Products!A:G,7,FALSE))*G498,"")</f>
        <v/>
      </c>
    </row>
    <row r="499" spans="6:11" x14ac:dyDescent="0.25">
      <c r="F499" t="str">
        <f>IFERROR(VLOOKUP(E499,Products!A:B,2,FALSE),"")</f>
        <v/>
      </c>
      <c r="H499" t="str">
        <f>IFERROR(VLOOKUP(E499,Products!A:H,8,FALSE),"")</f>
        <v/>
      </c>
      <c r="J499" t="str">
        <f t="shared" si="7"/>
        <v/>
      </c>
      <c r="K499" t="str">
        <f>IFERROR((H499-VLOOKUP(E499,Products!A:G,7,FALSE))*G499,"")</f>
        <v/>
      </c>
    </row>
    <row r="500" spans="6:11" x14ac:dyDescent="0.25">
      <c r="F500" t="str">
        <f>IFERROR(VLOOKUP(E500,Products!A:B,2,FALSE),"")</f>
        <v/>
      </c>
      <c r="H500" t="str">
        <f>IFERROR(VLOOKUP(E500,Products!A:H,8,FALSE),"")</f>
        <v/>
      </c>
      <c r="J500" t="str">
        <f t="shared" si="7"/>
        <v/>
      </c>
      <c r="K500" t="str">
        <f>IFERROR((H500-VLOOKUP(E500,Products!A:G,7,FALSE))*G500,"")</f>
        <v/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Products!$A$2:$A$1000</xm:f>
          </x14:formula1>
          <xm:sqref>E2:E500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>
      <selection activeCell="E11" sqref="E10:E11"/>
    </sheetView>
  </sheetViews>
  <sheetFormatPr defaultRowHeight="15" x14ac:dyDescent="0.25"/>
  <cols>
    <col min="1" max="1" width="10.28515625" style="11" bestFit="1" customWidth="1"/>
    <col min="2" max="2" width="9.140625" style="10"/>
    <col min="3" max="3" width="9.85546875" style="11" bestFit="1" customWidth="1"/>
    <col min="4" max="4" width="9.42578125" style="11" bestFit="1" customWidth="1"/>
    <col min="5" max="5" width="10.7109375" style="10" bestFit="1" customWidth="1"/>
    <col min="6" max="6" width="13.28515625" style="9" bestFit="1" customWidth="1"/>
    <col min="7" max="7" width="18.42578125" style="9" bestFit="1" customWidth="1"/>
    <col min="8" max="8" width="10.85546875" style="9" bestFit="1" customWidth="1"/>
    <col min="9" max="12" width="10.85546875" style="9" customWidth="1"/>
    <col min="13" max="16384" width="9.140625" style="9"/>
  </cols>
  <sheetData>
    <row r="1" spans="1:15" x14ac:dyDescent="0.25">
      <c r="A1" s="7" t="s">
        <v>88</v>
      </c>
      <c r="B1" s="6" t="s">
        <v>93</v>
      </c>
      <c r="C1" s="7" t="s">
        <v>94</v>
      </c>
      <c r="D1" s="7" t="s">
        <v>95</v>
      </c>
      <c r="E1" s="6" t="s">
        <v>82</v>
      </c>
      <c r="F1" s="8" t="s">
        <v>23</v>
      </c>
      <c r="G1" s="8" t="s">
        <v>57</v>
      </c>
      <c r="H1" s="8" t="s">
        <v>83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4</v>
      </c>
      <c r="N1" s="12" t="s">
        <v>84</v>
      </c>
      <c r="O1" s="12" t="s">
        <v>85</v>
      </c>
    </row>
    <row r="2" spans="1:15" x14ac:dyDescent="0.25">
      <c r="A2" s="11" t="s">
        <v>89</v>
      </c>
      <c r="B2" s="10">
        <v>46174</v>
      </c>
      <c r="C2" s="11">
        <v>1</v>
      </c>
      <c r="D2" s="10">
        <v>46174</v>
      </c>
      <c r="E2" s="10" t="s">
        <v>69</v>
      </c>
      <c r="F2" s="9" t="str">
        <f>IFERROR(VLOOKUP(E2,Suppliers!A:D,2,FALSE),"")</f>
        <v>IG GARMENTS</v>
      </c>
      <c r="G2" s="13" t="s">
        <v>18</v>
      </c>
      <c r="H2" s="9" t="str">
        <f>IFERROR(VLOOKUP($G2,Products!$A:$J,2,FALSE),"")</f>
        <v>R/S Crush</v>
      </c>
      <c r="I2" s="9" t="str">
        <f>IFERROR(VLOOKUP($G2,Products!$A:$J,3,FALSE),"")</f>
        <v>Fancy</v>
      </c>
      <c r="J2" s="9" t="str">
        <f>IFERROR(VLOOKUP($G2,Products!$A:$J,4,FALSE),"")</f>
        <v>SK</v>
      </c>
      <c r="K2" s="9" t="str">
        <f>IFERROR(VLOOKUP($G2,Products!$A:$J,5,FALSE),"")</f>
        <v>SML</v>
      </c>
      <c r="L2" s="9" t="str">
        <f>IFERROR(VLOOKUP($G2,Products!$A:$J,6,FALSE),"")</f>
        <v>Gray</v>
      </c>
      <c r="M2" s="9">
        <v>3</v>
      </c>
      <c r="N2" s="9">
        <f>IFERROR(VLOOKUP($G2,Products!$A:$J,7,FALSE),"")</f>
        <v>2200</v>
      </c>
      <c r="O2" s="9">
        <f>M2*N2</f>
        <v>6600</v>
      </c>
    </row>
    <row r="3" spans="1:15" x14ac:dyDescent="0.25">
      <c r="A3" s="11" t="s">
        <v>91</v>
      </c>
      <c r="B3" s="10">
        <v>46174</v>
      </c>
      <c r="C3" s="11">
        <v>2</v>
      </c>
      <c r="D3" s="10">
        <v>46174</v>
      </c>
      <c r="E3" s="10" t="s">
        <v>69</v>
      </c>
      <c r="F3" s="9" t="str">
        <f>IFERROR(VLOOKUP(E3,Suppliers!A:D,2,FALSE),"")</f>
        <v>IG GARMENTS</v>
      </c>
      <c r="G3" s="13" t="s">
        <v>39</v>
      </c>
      <c r="H3" s="9" t="str">
        <f>IFERROR(VLOOKUP(G3,Products!A:J,2,FALSE),"")</f>
        <v>PC 3PCS</v>
      </c>
      <c r="I3" s="9" t="str">
        <f>IFERROR(VLOOKUP(H3,Products!B:K,2,FALSE),"")</f>
        <v>Casual</v>
      </c>
      <c r="J3" s="9" t="str">
        <f>IFERROR(VLOOKUP(I3,Products!C:L,2,FALSE),"")</f>
        <v>CITI</v>
      </c>
      <c r="K3" s="9" t="str">
        <f>IFERROR(VLOOKUP(J3,Products!D:M,2,FALSE),"")</f>
        <v>STD</v>
      </c>
      <c r="L3" s="9" t="str">
        <f>IFERROR(VLOOKUP(K3,Products!E:N,2,FALSE),"")</f>
        <v>Pink</v>
      </c>
      <c r="M3" s="9">
        <v>6</v>
      </c>
      <c r="N3" s="9">
        <f>IFERROR(VLOOKUP($G3,Products!$A:$J,7,FALSE),"")</f>
        <v>1050</v>
      </c>
      <c r="O3" s="9">
        <f t="shared" ref="O3:O5" si="0">M3*N3</f>
        <v>6300</v>
      </c>
    </row>
    <row r="4" spans="1:15" x14ac:dyDescent="0.25">
      <c r="A4" s="11" t="s">
        <v>90</v>
      </c>
      <c r="B4" s="10">
        <v>46174</v>
      </c>
      <c r="C4" s="11">
        <v>3</v>
      </c>
      <c r="D4" s="10">
        <v>46174</v>
      </c>
      <c r="E4" s="10" t="s">
        <v>73</v>
      </c>
      <c r="F4" s="9" t="str">
        <f>IFERROR(VLOOKUP(E4,Suppliers!A:D,2,FALSE),"")</f>
        <v>IB FASHION</v>
      </c>
      <c r="G4" s="13" t="s">
        <v>40</v>
      </c>
      <c r="H4" s="9" t="str">
        <f>IFERROR(VLOOKUP(G4,Products!A:J,2,FALSE),"")</f>
        <v>PV 2PCS</v>
      </c>
      <c r="I4" s="9" t="str">
        <f>IFERROR(VLOOKUP(H4,Products!B:K,2,FALSE),"")</f>
        <v>Casual</v>
      </c>
      <c r="J4" s="9" t="str">
        <f>IFERROR(VLOOKUP(I4,Products!C:L,2,FALSE),"")</f>
        <v>CITI</v>
      </c>
      <c r="K4" s="9" t="str">
        <f>IFERROR(VLOOKUP(J4,Products!D:M,2,FALSE),"")</f>
        <v>STD</v>
      </c>
      <c r="L4" s="9" t="str">
        <f>IFERROR(VLOOKUP(K4,Products!E:N,2,FALSE),"")</f>
        <v>Pink</v>
      </c>
      <c r="M4" s="9">
        <v>6</v>
      </c>
      <c r="N4" s="9">
        <f>IFERROR(VLOOKUP($G4,Products!$A:$J,7,FALSE),"")</f>
        <v>1100</v>
      </c>
      <c r="O4" s="9">
        <f t="shared" si="0"/>
        <v>6600</v>
      </c>
    </row>
    <row r="5" spans="1:15" x14ac:dyDescent="0.25">
      <c r="A5" s="11" t="s">
        <v>92</v>
      </c>
      <c r="B5" s="10">
        <v>46174</v>
      </c>
      <c r="C5" s="11">
        <v>4</v>
      </c>
      <c r="D5" s="10">
        <v>46174</v>
      </c>
      <c r="E5" s="10" t="s">
        <v>72</v>
      </c>
      <c r="F5" s="9" t="str">
        <f>IFERROR(VLOOKUP(E5,Suppliers!A:D,2,FALSE),"")</f>
        <v>DEBAJ</v>
      </c>
      <c r="G5" s="13" t="s">
        <v>18</v>
      </c>
      <c r="H5" s="9" t="str">
        <f>IFERROR(VLOOKUP(G5,Products!A:J,2,FALSE),"")</f>
        <v>R/S Crush</v>
      </c>
      <c r="I5" s="9" t="str">
        <f>IFERROR(VLOOKUP(H5,Products!B:K,2,FALSE),"")</f>
        <v>Fancy</v>
      </c>
      <c r="J5" s="9" t="str">
        <f>IFERROR(VLOOKUP(I5,Products!C:L,2,FALSE),"")</f>
        <v>IG</v>
      </c>
      <c r="K5" s="9" t="str">
        <f>IFERROR(VLOOKUP(J5,Products!D:M,2,FALSE),"")</f>
        <v>SML</v>
      </c>
      <c r="L5" s="9" t="str">
        <f>IFERROR(VLOOKUP(K5,Products!E:N,2,FALSE),"")</f>
        <v>Black</v>
      </c>
      <c r="M5" s="9">
        <v>2</v>
      </c>
      <c r="N5" s="9">
        <f>IFERROR(VLOOKUP($G5,Products!$A:$J,7,FALSE),"")</f>
        <v>2200</v>
      </c>
      <c r="O5" s="9">
        <f t="shared" si="0"/>
        <v>4400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789E4A-872C-402A-83FA-2C5C3E8ED336}">
          <x14:formula1>
            <xm:f>Products!$A$2:$A$2805</xm:f>
          </x14:formula1>
          <xm:sqref>G1:G1048576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0"/>
  <sheetViews>
    <sheetView workbookViewId="0">
      <selection activeCell="J2" sqref="J2"/>
    </sheetView>
  </sheetViews>
  <sheetFormatPr defaultRowHeight="15" x14ac:dyDescent="0.25"/>
  <cols>
    <col min="8" max="8" width="10.140625" bestFit="1" customWidth="1"/>
    <col min="10" max="10" width="8.140625" customWidth="1"/>
    <col min="11" max="11" width="11.28515625" bestFit="1" customWidth="1"/>
  </cols>
  <sheetData>
    <row r="1" spans="1:11" x14ac:dyDescent="0.25">
      <c r="A1" s="1" t="s">
        <v>7</v>
      </c>
      <c r="B1" s="1" t="s">
        <v>3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28</v>
      </c>
      <c r="H1" s="1" t="s">
        <v>30</v>
      </c>
      <c r="I1" s="1" t="s">
        <v>29</v>
      </c>
      <c r="J1" s="5" t="s">
        <v>112</v>
      </c>
      <c r="K1" s="1" t="s">
        <v>31</v>
      </c>
    </row>
    <row r="2" spans="1:11" x14ac:dyDescent="0.25">
      <c r="A2" t="str">
        <f>Products!A2</f>
        <v>1001</v>
      </c>
      <c r="B2" t="str">
        <f>IFERROR(VLOOKUP($A2,Products!$A:$G,2,FALSE),"")</f>
        <v>NS-52</v>
      </c>
      <c r="C2" t="str">
        <f>IFERROR(VLOOKUP($A2,Products!$A:$G,3,FALSE),"")</f>
        <v>Fancy</v>
      </c>
      <c r="D2" t="str">
        <f>IFERROR(VLOOKUP($A2,Products!$A:$G,4,FALSE),"")</f>
        <v>IG</v>
      </c>
      <c r="E2" t="str">
        <f>IFERROR(VLOOKUP($A2,Products!$A:$G,5,FALSE),"")</f>
        <v>SML</v>
      </c>
      <c r="F2" t="str">
        <f>IFERROR(VLOOKUP($A2,Products!$A:$G,6,FALSE),"")</f>
        <v>Black</v>
      </c>
      <c r="G2">
        <f>Products!I2</f>
        <v>40</v>
      </c>
      <c r="H2">
        <f>SUMIF(Purchases!H:H,A2,Purchases!M:M)</f>
        <v>0</v>
      </c>
      <c r="I2">
        <f>SUMIF(Sales!E:E,A2,Sales!G:G)</f>
        <v>1</v>
      </c>
      <c r="J2">
        <f>G2+H2-I2</f>
        <v>39</v>
      </c>
      <c r="K2" t="str">
        <f>IF(J2&lt;=Products!J2,"LOW STOCK","OK")</f>
        <v>OK</v>
      </c>
    </row>
    <row r="3" spans="1:11" x14ac:dyDescent="0.25">
      <c r="A3" t="str">
        <f>Products!A3</f>
        <v>1002</v>
      </c>
      <c r="B3" t="str">
        <f>IFERROR(VLOOKUP($A3,Products!$A:$G,2,FALSE),"")</f>
        <v>R/S Crush</v>
      </c>
      <c r="C3" t="str">
        <f>IFERROR(VLOOKUP($A3,Products!$A:$G,3,FALSE),"")</f>
        <v>Fancy</v>
      </c>
      <c r="D3" t="str">
        <f>IFERROR(VLOOKUP($A3,Products!$A:$G,4,FALSE),"")</f>
        <v>SK</v>
      </c>
      <c r="E3" t="str">
        <f>IFERROR(VLOOKUP($A3,Products!$A:$G,5,FALSE),"")</f>
        <v>SML</v>
      </c>
      <c r="F3" t="str">
        <f>IFERROR(VLOOKUP($A3,Products!$A:$G,6,FALSE),"")</f>
        <v>Gray</v>
      </c>
      <c r="G3">
        <f>Products!I3</f>
        <v>20</v>
      </c>
      <c r="H3">
        <f>SUMIF(Purchases!H:H,A3,Purchases!M:M)</f>
        <v>0</v>
      </c>
      <c r="I3">
        <f>SUMIF(Sales!E:E,A3,Sales!G:G)</f>
        <v>1</v>
      </c>
      <c r="J3">
        <f>G3+H3-I3</f>
        <v>19</v>
      </c>
      <c r="K3" t="str">
        <f>IF(J3&lt;=Products!J3,"LOW STOCK","OK")</f>
        <v>OK</v>
      </c>
    </row>
    <row r="4" spans="1:11" x14ac:dyDescent="0.25">
      <c r="A4" t="str">
        <f>Products!A4</f>
        <v>1003</v>
      </c>
      <c r="B4" t="str">
        <f>IFERROR(VLOOKUP($A4,Products!$A:$G,2,FALSE),"")</f>
        <v>PC 2PCS</v>
      </c>
      <c r="C4" t="str">
        <f>IFERROR(VLOOKUP($A4,Products!$A:$G,3,FALSE),"")</f>
        <v>Casual</v>
      </c>
      <c r="D4" t="str">
        <f>IFERROR(VLOOKUP($A4,Products!$A:$G,4,FALSE),"")</f>
        <v>CITI</v>
      </c>
      <c r="E4" t="str">
        <f>IFERROR(VLOOKUP($A4,Products!$A:$G,5,FALSE),"")</f>
        <v>STD</v>
      </c>
      <c r="F4" t="str">
        <f>IFERROR(VLOOKUP($A4,Products!$A:$G,6,FALSE),"")</f>
        <v>Pink</v>
      </c>
      <c r="G4">
        <f>Products!I4</f>
        <v>40</v>
      </c>
      <c r="H4">
        <f>SUMIF(Purchases!H:H,A4,Purchases!M:M)</f>
        <v>0</v>
      </c>
      <c r="I4">
        <f>SUMIF(Sales!E:E,A4,Sales!G:G)</f>
        <v>1</v>
      </c>
      <c r="J4">
        <f>G4+H4-I4</f>
        <v>39</v>
      </c>
      <c r="K4" t="str">
        <f>IF(J4&lt;=Products!J4,"LOW STOCK","OK")</f>
        <v>OK</v>
      </c>
    </row>
    <row r="5" spans="1:11" x14ac:dyDescent="0.25">
      <c r="A5" t="str">
        <f>Products!A5</f>
        <v>1004</v>
      </c>
      <c r="B5" t="str">
        <f>IFERROR(VLOOKUP($A5,Products!$A:$G,2,FALSE),"")</f>
        <v>PC 3PCS</v>
      </c>
      <c r="C5" t="str">
        <f>IFERROR(VLOOKUP($A5,Products!$A:$G,3,FALSE),"")</f>
        <v>Casual</v>
      </c>
      <c r="D5" t="str">
        <f>IFERROR(VLOOKUP($A5,Products!$A:$G,4,FALSE),"")</f>
        <v>CITI</v>
      </c>
      <c r="E5" t="str">
        <f>IFERROR(VLOOKUP($A5,Products!$A:$G,5,FALSE),"")</f>
        <v>STD</v>
      </c>
      <c r="F5" t="str">
        <f>IFERROR(VLOOKUP($A5,Products!$A:$G,6,FALSE),"")</f>
        <v>Cheeko</v>
      </c>
      <c r="G5">
        <f>Products!I5</f>
        <v>45</v>
      </c>
      <c r="H5">
        <f>SUMIF(Purchases!H:H,A5,Purchases!M:M)</f>
        <v>0</v>
      </c>
      <c r="I5">
        <f>SUMIF(Sales!E:E,A5,Sales!G:G)</f>
        <v>1</v>
      </c>
      <c r="J5">
        <f>G5+H5-I5</f>
        <v>44</v>
      </c>
      <c r="K5" t="str">
        <f>IF(J5&lt;=Products!J5,"LOW STOCK","OK")</f>
        <v>OK</v>
      </c>
    </row>
    <row r="6" spans="1:11" x14ac:dyDescent="0.25">
      <c r="A6" t="str">
        <f>Products!A6</f>
        <v>1005</v>
      </c>
      <c r="B6" t="str">
        <f>IFERROR(VLOOKUP($A6,Products!$A:$G,2,FALSE),"")</f>
        <v>PV 2PCS</v>
      </c>
      <c r="C6" t="str">
        <f>IFERROR(VLOOKUP($A6,Products!$A:$G,3,FALSE),"")</f>
        <v>Casual</v>
      </c>
      <c r="D6" t="str">
        <f>IFERROR(VLOOKUP($A6,Products!$A:$G,4,FALSE),"")</f>
        <v>DEBAJ</v>
      </c>
      <c r="E6" t="str">
        <f>IFERROR(VLOOKUP($A6,Products!$A:$G,5,FALSE),"")</f>
        <v>STD</v>
      </c>
      <c r="F6" t="str">
        <f>IFERROR(VLOOKUP($A6,Products!$A:$G,6,FALSE),"")</f>
        <v>Aqua</v>
      </c>
      <c r="G6">
        <f>Products!I6</f>
        <v>28</v>
      </c>
      <c r="H6">
        <f>SUMIF(Purchases!H:H,A6,Purchases!M:M)</f>
        <v>0</v>
      </c>
      <c r="I6">
        <f>SUMIF(Sales!E:E,A6,Sales!G:G)</f>
        <v>1</v>
      </c>
      <c r="J6">
        <f>G6+H6-I6</f>
        <v>27</v>
      </c>
      <c r="K6" t="str">
        <f>IF(J6&lt;=Products!J6,"LOW STOCK","OK")</f>
        <v>OK</v>
      </c>
    </row>
    <row r="7" spans="1:11" x14ac:dyDescent="0.25">
      <c r="A7" t="str">
        <f>Products!A7</f>
        <v>1006</v>
      </c>
      <c r="B7" t="str">
        <f>IFERROR(VLOOKUP($A7,Products!$A:$G,2,FALSE),"")</f>
        <v>PV 3PCS</v>
      </c>
      <c r="C7" t="str">
        <f>IFERROR(VLOOKUP($A7,Products!$A:$G,3,FALSE),"")</f>
        <v>Casual</v>
      </c>
      <c r="D7" t="str">
        <f>IFERROR(VLOOKUP($A7,Products!$A:$G,4,FALSE),"")</f>
        <v>DEBAJ</v>
      </c>
      <c r="E7" t="str">
        <f>IFERROR(VLOOKUP($A7,Products!$A:$G,5,FALSE),"")</f>
        <v>STD</v>
      </c>
      <c r="F7" t="str">
        <f>IFERROR(VLOOKUP($A7,Products!$A:$G,6,FALSE),"")</f>
        <v>Mehroon</v>
      </c>
      <c r="G7">
        <f>Products!I7</f>
        <v>12</v>
      </c>
      <c r="H7">
        <f>SUMIF(Purchases!H:H,A7,Purchases!M:M)</f>
        <v>0</v>
      </c>
      <c r="I7">
        <f>SUMIF(Sales!E:E,A7,Sales!G:G)</f>
        <v>0</v>
      </c>
      <c r="J7">
        <f>G7+H7-I7</f>
        <v>12</v>
      </c>
      <c r="K7" t="str">
        <f>IF(J7&lt;=Products!J7,"LOW STOCK","OK")</f>
        <v>LOW STOCK</v>
      </c>
    </row>
    <row r="8" spans="1:11" x14ac:dyDescent="0.25">
      <c r="A8">
        <f>Products!A8</f>
        <v>0</v>
      </c>
      <c r="B8" t="str">
        <f>IFERROR(VLOOKUP($A8,Products!$A:$G,2,FALSE),"")</f>
        <v/>
      </c>
      <c r="G8">
        <f>Products!I8</f>
        <v>0</v>
      </c>
      <c r="H8">
        <f>SUMIF(Purchases!H:H,A8,Purchases!M:M)</f>
        <v>0</v>
      </c>
      <c r="I8">
        <f>SUMIF(Sales!E:E,A8,Sales!G:G)</f>
        <v>0</v>
      </c>
      <c r="J8">
        <f>G8+H8-I8</f>
        <v>0</v>
      </c>
      <c r="K8" t="str">
        <f>IF(J8&lt;=Products!J8,"LOW STOCK","OK")</f>
        <v>LOW STOCK</v>
      </c>
    </row>
    <row r="9" spans="1:11" x14ac:dyDescent="0.25">
      <c r="A9">
        <f>Products!A9</f>
        <v>0</v>
      </c>
      <c r="B9" t="str">
        <f>IFERROR(VLOOKUP($A9,Products!$A:$G,2,FALSE),"")</f>
        <v/>
      </c>
      <c r="G9">
        <f>Products!I9</f>
        <v>0</v>
      </c>
      <c r="H9">
        <f>SUMIF(Purchases!H:H,A9,Purchases!M:M)</f>
        <v>0</v>
      </c>
      <c r="I9">
        <f>SUMIF(Sales!E:E,A9,Sales!G:G)</f>
        <v>0</v>
      </c>
      <c r="J9">
        <f>G9+H9-I9</f>
        <v>0</v>
      </c>
      <c r="K9" t="str">
        <f>IF(J9&lt;=Products!J9,"LOW STOCK","OK")</f>
        <v>LOW STOCK</v>
      </c>
    </row>
    <row r="10" spans="1:11" x14ac:dyDescent="0.25">
      <c r="A10">
        <f>Products!A10</f>
        <v>0</v>
      </c>
      <c r="B10" t="str">
        <f>IFERROR(VLOOKUP($A10,Products!$A:$G,2,FALSE),"")</f>
        <v/>
      </c>
      <c r="G10">
        <f>Products!I10</f>
        <v>0</v>
      </c>
      <c r="H10">
        <f>SUMIF(Purchases!H:H,A10,Purchases!M:M)</f>
        <v>0</v>
      </c>
      <c r="I10">
        <f>SUMIF(Sales!E:E,A10,Sales!G:G)</f>
        <v>0</v>
      </c>
      <c r="J10">
        <f>G10+H10-I10</f>
        <v>0</v>
      </c>
      <c r="K10" t="str">
        <f>IF(J10&lt;=Products!J10,"LOW STOCK","OK")</f>
        <v>LOW STOCK</v>
      </c>
    </row>
    <row r="11" spans="1:11" x14ac:dyDescent="0.25">
      <c r="A11">
        <f>Products!A11</f>
        <v>0</v>
      </c>
      <c r="B11" t="str">
        <f>IFERROR(VLOOKUP($A11,Products!$A:$G,2,FALSE),"")</f>
        <v/>
      </c>
      <c r="G11">
        <f>Products!I11</f>
        <v>0</v>
      </c>
      <c r="H11">
        <f>SUMIF(Purchases!H:H,A11,Purchases!M:M)</f>
        <v>0</v>
      </c>
      <c r="I11">
        <f>SUMIF(Sales!E:E,A11,Sales!G:G)</f>
        <v>0</v>
      </c>
      <c r="J11">
        <f>G11+H11-I11</f>
        <v>0</v>
      </c>
      <c r="K11" t="str">
        <f>IF(J11&lt;=Products!J11,"LOW STOCK","OK")</f>
        <v>LOW STOCK</v>
      </c>
    </row>
    <row r="12" spans="1:11" x14ac:dyDescent="0.25">
      <c r="A12">
        <f>Products!A12</f>
        <v>0</v>
      </c>
      <c r="B12" t="str">
        <f>IFERROR(VLOOKUP($A12,Products!$A:$G,2,FALSE),"")</f>
        <v/>
      </c>
      <c r="G12">
        <f>Products!I12</f>
        <v>0</v>
      </c>
      <c r="H12">
        <f>SUMIF(Purchases!H:H,A12,Purchases!M:M)</f>
        <v>0</v>
      </c>
      <c r="I12">
        <f>SUMIF(Sales!E:E,A12,Sales!G:G)</f>
        <v>0</v>
      </c>
      <c r="J12">
        <f>G12+H12-I12</f>
        <v>0</v>
      </c>
      <c r="K12" t="str">
        <f>IF(J12&lt;=Products!J12,"LOW STOCK","OK")</f>
        <v>LOW STOCK</v>
      </c>
    </row>
    <row r="13" spans="1:11" x14ac:dyDescent="0.25">
      <c r="A13">
        <f>Products!A13</f>
        <v>0</v>
      </c>
      <c r="B13" t="str">
        <f>IFERROR(VLOOKUP($A13,Products!$A:$G,2,FALSE),"")</f>
        <v/>
      </c>
      <c r="G13">
        <f>Products!I13</f>
        <v>0</v>
      </c>
      <c r="H13">
        <f>SUMIF(Purchases!H:H,A13,Purchases!M:M)</f>
        <v>0</v>
      </c>
      <c r="I13">
        <f>SUMIF(Sales!E:E,A13,Sales!G:G)</f>
        <v>0</v>
      </c>
      <c r="J13">
        <f>G13+H13-I13</f>
        <v>0</v>
      </c>
      <c r="K13" t="str">
        <f>IF(J13&lt;=Products!J13,"LOW STOCK","OK")</f>
        <v>LOW STOCK</v>
      </c>
    </row>
    <row r="14" spans="1:11" x14ac:dyDescent="0.25">
      <c r="A14">
        <f>Products!A14</f>
        <v>0</v>
      </c>
      <c r="B14" t="str">
        <f>IFERROR(VLOOKUP($A14,Products!$A:$G,2,FALSE),"")</f>
        <v/>
      </c>
      <c r="G14">
        <f>Products!I14</f>
        <v>0</v>
      </c>
      <c r="H14">
        <f>SUMIF(Purchases!H:H,A14,Purchases!M:M)</f>
        <v>0</v>
      </c>
      <c r="I14">
        <f>SUMIF(Sales!E:E,A14,Sales!G:G)</f>
        <v>0</v>
      </c>
      <c r="J14">
        <f>G14+H14-I14</f>
        <v>0</v>
      </c>
      <c r="K14" t="str">
        <f>IF(J14&lt;=Products!J14,"LOW STOCK","OK")</f>
        <v>LOW STOCK</v>
      </c>
    </row>
    <row r="15" spans="1:11" x14ac:dyDescent="0.25">
      <c r="A15">
        <f>Products!A15</f>
        <v>0</v>
      </c>
      <c r="B15" t="str">
        <f>IFERROR(VLOOKUP($A15,Products!$A:$G,2,FALSE),"")</f>
        <v/>
      </c>
      <c r="G15">
        <f>Products!I15</f>
        <v>0</v>
      </c>
      <c r="H15">
        <f>SUMIF(Purchases!H:H,A15,Purchases!M:M)</f>
        <v>0</v>
      </c>
      <c r="I15">
        <f>SUMIF(Sales!E:E,A15,Sales!G:G)</f>
        <v>0</v>
      </c>
      <c r="J15">
        <f>G15+H15-I15</f>
        <v>0</v>
      </c>
      <c r="K15" t="str">
        <f>IF(J15&lt;=Products!J15,"LOW STOCK","OK")</f>
        <v>LOW STOCK</v>
      </c>
    </row>
    <row r="16" spans="1:11" x14ac:dyDescent="0.25">
      <c r="A16">
        <f>Products!A16</f>
        <v>0</v>
      </c>
      <c r="B16" t="str">
        <f>IFERROR(VLOOKUP($A16,Products!$A:$G,2,FALSE),"")</f>
        <v/>
      </c>
      <c r="G16">
        <f>Products!I16</f>
        <v>0</v>
      </c>
      <c r="H16">
        <f>SUMIF(Purchases!H:H,A16,Purchases!M:M)</f>
        <v>0</v>
      </c>
      <c r="I16">
        <f>SUMIF(Sales!E:E,A16,Sales!G:G)</f>
        <v>0</v>
      </c>
      <c r="J16">
        <f>G16+H16-I16</f>
        <v>0</v>
      </c>
      <c r="K16" t="str">
        <f>IF(J16&lt;=Products!J16,"LOW STOCK","OK")</f>
        <v>LOW STOCK</v>
      </c>
    </row>
    <row r="17" spans="1:11" x14ac:dyDescent="0.25">
      <c r="A17">
        <f>Products!A17</f>
        <v>0</v>
      </c>
      <c r="B17" t="str">
        <f>IFERROR(VLOOKUP($A17,Products!$A:$G,2,FALSE),"")</f>
        <v/>
      </c>
      <c r="G17">
        <f>Products!I17</f>
        <v>0</v>
      </c>
      <c r="H17">
        <f>SUMIF(Purchases!H:H,A17,Purchases!M:M)</f>
        <v>0</v>
      </c>
      <c r="I17">
        <f>SUMIF(Sales!E:E,A17,Sales!G:G)</f>
        <v>0</v>
      </c>
      <c r="J17">
        <f>G17+H17-I17</f>
        <v>0</v>
      </c>
      <c r="K17" t="str">
        <f>IF(J17&lt;=Products!J17,"LOW STOCK","OK")</f>
        <v>LOW STOCK</v>
      </c>
    </row>
    <row r="18" spans="1:11" x14ac:dyDescent="0.25">
      <c r="A18">
        <f>Products!A18</f>
        <v>0</v>
      </c>
      <c r="B18" t="str">
        <f>IFERROR(VLOOKUP($A18,Products!$A:$G,2,FALSE),"")</f>
        <v/>
      </c>
      <c r="G18">
        <f>Products!I18</f>
        <v>0</v>
      </c>
      <c r="H18">
        <f>SUMIF(Purchases!H:H,A18,Purchases!M:M)</f>
        <v>0</v>
      </c>
      <c r="I18">
        <f>SUMIF(Sales!E:E,A18,Sales!G:G)</f>
        <v>0</v>
      </c>
      <c r="J18">
        <f>G18+H18-I18</f>
        <v>0</v>
      </c>
      <c r="K18" t="str">
        <f>IF(J18&lt;=Products!J18,"LOW STOCK","OK")</f>
        <v>LOW STOCK</v>
      </c>
    </row>
    <row r="19" spans="1:11" x14ac:dyDescent="0.25">
      <c r="A19">
        <f>Products!A19</f>
        <v>0</v>
      </c>
      <c r="B19" t="str">
        <f>IFERROR(VLOOKUP($A19,Products!$A:$G,2,FALSE),"")</f>
        <v/>
      </c>
      <c r="G19">
        <f>Products!I19</f>
        <v>0</v>
      </c>
      <c r="H19">
        <f>SUMIF(Purchases!H:H,A19,Purchases!M:M)</f>
        <v>0</v>
      </c>
      <c r="I19">
        <f>SUMIF(Sales!E:E,A19,Sales!G:G)</f>
        <v>0</v>
      </c>
      <c r="J19">
        <f>G19+H19-I19</f>
        <v>0</v>
      </c>
      <c r="K19" t="str">
        <f>IF(J19&lt;=Products!J19,"LOW STOCK","OK")</f>
        <v>LOW STOCK</v>
      </c>
    </row>
    <row r="20" spans="1:11" x14ac:dyDescent="0.25">
      <c r="A20">
        <f>Products!A20</f>
        <v>0</v>
      </c>
      <c r="B20" t="str">
        <f>IFERROR(VLOOKUP($A20,Products!$A:$G,2,FALSE),"")</f>
        <v/>
      </c>
      <c r="G20">
        <f>Products!I20</f>
        <v>0</v>
      </c>
      <c r="H20">
        <f>SUMIF(Purchases!H:H,A20,Purchases!M:M)</f>
        <v>0</v>
      </c>
      <c r="I20">
        <f>SUMIF(Sales!E:E,A20,Sales!G:G)</f>
        <v>0</v>
      </c>
      <c r="J20">
        <f>G20+H20-I20</f>
        <v>0</v>
      </c>
      <c r="K20" t="str">
        <f>IF(J20&lt;=Products!J20,"LOW STOCK","OK")</f>
        <v>LOW STOCK</v>
      </c>
    </row>
    <row r="21" spans="1:11" x14ac:dyDescent="0.25">
      <c r="A21">
        <f>Products!A21</f>
        <v>0</v>
      </c>
      <c r="B21" t="str">
        <f>IFERROR(VLOOKUP($A21,Products!$A:$G,2,FALSE),"")</f>
        <v/>
      </c>
      <c r="G21">
        <f>Products!I21</f>
        <v>0</v>
      </c>
      <c r="H21">
        <f>SUMIF(Purchases!H:H,A21,Purchases!M:M)</f>
        <v>0</v>
      </c>
      <c r="I21">
        <f>SUMIF(Sales!E:E,A21,Sales!G:G)</f>
        <v>0</v>
      </c>
      <c r="J21">
        <f>G21+H21-I21</f>
        <v>0</v>
      </c>
      <c r="K21" t="str">
        <f>IF(J21&lt;=Products!J21,"LOW STOCK","OK")</f>
        <v>LOW STOCK</v>
      </c>
    </row>
    <row r="22" spans="1:11" x14ac:dyDescent="0.25">
      <c r="A22">
        <f>Products!A22</f>
        <v>0</v>
      </c>
      <c r="B22" t="str">
        <f>IFERROR(VLOOKUP($A22,Products!$A:$G,2,FALSE),"")</f>
        <v/>
      </c>
      <c r="G22">
        <f>Products!I22</f>
        <v>0</v>
      </c>
      <c r="H22">
        <f>SUMIF(Purchases!H:H,A22,Purchases!M:M)</f>
        <v>0</v>
      </c>
      <c r="I22">
        <f>SUMIF(Sales!E:E,A22,Sales!G:G)</f>
        <v>0</v>
      </c>
      <c r="J22">
        <f>G22+H22-I22</f>
        <v>0</v>
      </c>
      <c r="K22" t="str">
        <f>IF(J22&lt;=Products!J22,"LOW STOCK","OK")</f>
        <v>LOW STOCK</v>
      </c>
    </row>
    <row r="23" spans="1:11" x14ac:dyDescent="0.25">
      <c r="A23">
        <f>Products!A23</f>
        <v>0</v>
      </c>
      <c r="B23" t="str">
        <f>IFERROR(VLOOKUP($A23,Products!$A:$G,2,FALSE),"")</f>
        <v/>
      </c>
      <c r="G23">
        <f>Products!I23</f>
        <v>0</v>
      </c>
      <c r="H23">
        <f>SUMIF(Purchases!H:H,A23,Purchases!M:M)</f>
        <v>0</v>
      </c>
      <c r="I23">
        <f>SUMIF(Sales!E:E,A23,Sales!G:G)</f>
        <v>0</v>
      </c>
      <c r="J23">
        <f>G23+H23-I23</f>
        <v>0</v>
      </c>
      <c r="K23" t="str">
        <f>IF(J23&lt;=Products!J23,"LOW STOCK","OK")</f>
        <v>LOW STOCK</v>
      </c>
    </row>
    <row r="24" spans="1:11" x14ac:dyDescent="0.25">
      <c r="A24">
        <f>Products!A24</f>
        <v>0</v>
      </c>
      <c r="B24" t="str">
        <f>IFERROR(VLOOKUP($A24,Products!$A:$G,2,FALSE),"")</f>
        <v/>
      </c>
      <c r="G24">
        <f>Products!I24</f>
        <v>0</v>
      </c>
      <c r="H24">
        <f>SUMIF(Purchases!H:H,A24,Purchases!M:M)</f>
        <v>0</v>
      </c>
      <c r="I24">
        <f>SUMIF(Sales!E:E,A24,Sales!G:G)</f>
        <v>0</v>
      </c>
      <c r="J24">
        <f>G24+H24-I24</f>
        <v>0</v>
      </c>
      <c r="K24" t="str">
        <f>IF(J24&lt;=Products!J24,"LOW STOCK","OK")</f>
        <v>LOW STOCK</v>
      </c>
    </row>
    <row r="25" spans="1:11" x14ac:dyDescent="0.25">
      <c r="A25">
        <f>Products!A25</f>
        <v>0</v>
      </c>
      <c r="B25" t="str">
        <f>IFERROR(VLOOKUP($A25,Products!$A:$G,2,FALSE),"")</f>
        <v/>
      </c>
      <c r="G25">
        <f>Products!I25</f>
        <v>0</v>
      </c>
      <c r="H25">
        <f>SUMIF(Purchases!H:H,A25,Purchases!M:M)</f>
        <v>0</v>
      </c>
      <c r="I25">
        <f>SUMIF(Sales!E:E,A25,Sales!G:G)</f>
        <v>0</v>
      </c>
      <c r="J25">
        <f>G25+H25-I25</f>
        <v>0</v>
      </c>
      <c r="K25" t="str">
        <f>IF(J25&lt;=Products!J25,"LOW STOCK","OK")</f>
        <v>LOW STOCK</v>
      </c>
    </row>
    <row r="26" spans="1:11" x14ac:dyDescent="0.25">
      <c r="A26">
        <f>Products!A26</f>
        <v>0</v>
      </c>
      <c r="B26" t="str">
        <f>IFERROR(VLOOKUP($A26,Products!$A:$G,2,FALSE),"")</f>
        <v/>
      </c>
      <c r="G26">
        <f>Products!I26</f>
        <v>0</v>
      </c>
      <c r="H26">
        <f>SUMIF(Purchases!H:H,A26,Purchases!M:M)</f>
        <v>0</v>
      </c>
      <c r="I26">
        <f>SUMIF(Sales!E:E,A26,Sales!G:G)</f>
        <v>0</v>
      </c>
      <c r="J26">
        <f>G26+H26-I26</f>
        <v>0</v>
      </c>
      <c r="K26" t="str">
        <f>IF(J26&lt;=Products!J26,"LOW STOCK","OK")</f>
        <v>LOW STOCK</v>
      </c>
    </row>
    <row r="27" spans="1:11" x14ac:dyDescent="0.25">
      <c r="A27">
        <f>Products!A27</f>
        <v>0</v>
      </c>
      <c r="B27" t="str">
        <f>IFERROR(VLOOKUP($A27,Products!$A:$G,2,FALSE),"")</f>
        <v/>
      </c>
      <c r="G27">
        <f>Products!I27</f>
        <v>0</v>
      </c>
      <c r="H27">
        <f>SUMIF(Purchases!H:H,A27,Purchases!M:M)</f>
        <v>0</v>
      </c>
      <c r="I27">
        <f>SUMIF(Sales!E:E,A27,Sales!G:G)</f>
        <v>0</v>
      </c>
      <c r="J27">
        <f>G27+H27-I27</f>
        <v>0</v>
      </c>
      <c r="K27" t="str">
        <f>IF(J27&lt;=Products!J27,"LOW STOCK","OK")</f>
        <v>LOW STOCK</v>
      </c>
    </row>
    <row r="28" spans="1:11" x14ac:dyDescent="0.25">
      <c r="A28">
        <f>Products!A28</f>
        <v>0</v>
      </c>
      <c r="B28" t="str">
        <f>IFERROR(VLOOKUP($A28,Products!$A:$G,2,FALSE),"")</f>
        <v/>
      </c>
      <c r="G28">
        <f>Products!I28</f>
        <v>0</v>
      </c>
      <c r="H28">
        <f>SUMIF(Purchases!H:H,A28,Purchases!M:M)</f>
        <v>0</v>
      </c>
      <c r="I28">
        <f>SUMIF(Sales!E:E,A28,Sales!G:G)</f>
        <v>0</v>
      </c>
      <c r="J28">
        <f>G28+H28-I28</f>
        <v>0</v>
      </c>
      <c r="K28" t="str">
        <f>IF(J28&lt;=Products!J28,"LOW STOCK","OK")</f>
        <v>LOW STOCK</v>
      </c>
    </row>
    <row r="29" spans="1:11" x14ac:dyDescent="0.25">
      <c r="A29">
        <f>Products!A29</f>
        <v>0</v>
      </c>
      <c r="B29" t="str">
        <f>IFERROR(VLOOKUP($A29,Products!$A:$G,2,FALSE),"")</f>
        <v/>
      </c>
      <c r="G29">
        <f>Products!I29</f>
        <v>0</v>
      </c>
      <c r="H29">
        <f>SUMIF(Purchases!H:H,A29,Purchases!M:M)</f>
        <v>0</v>
      </c>
      <c r="I29">
        <f>SUMIF(Sales!E:E,A29,Sales!G:G)</f>
        <v>0</v>
      </c>
      <c r="J29">
        <f>G29+H29-I29</f>
        <v>0</v>
      </c>
      <c r="K29" t="str">
        <f>IF(J29&lt;=Products!J29,"LOW STOCK","OK")</f>
        <v>LOW STOCK</v>
      </c>
    </row>
    <row r="30" spans="1:11" x14ac:dyDescent="0.25">
      <c r="A30">
        <f>Products!A30</f>
        <v>0</v>
      </c>
      <c r="B30" t="str">
        <f>IFERROR(VLOOKUP($A30,Products!$A:$G,2,FALSE),"")</f>
        <v/>
      </c>
      <c r="G30">
        <f>Products!I30</f>
        <v>0</v>
      </c>
      <c r="H30">
        <f>SUMIF(Purchases!H:H,A30,Purchases!M:M)</f>
        <v>0</v>
      </c>
      <c r="I30">
        <f>SUMIF(Sales!E:E,A30,Sales!G:G)</f>
        <v>0</v>
      </c>
      <c r="J30">
        <f>G30+H30-I30</f>
        <v>0</v>
      </c>
      <c r="K30" t="str">
        <f>IF(J30&lt;=Products!J30,"LOW STOCK","OK")</f>
        <v>LOW STOCK</v>
      </c>
    </row>
    <row r="31" spans="1:11" x14ac:dyDescent="0.25">
      <c r="A31">
        <f>Products!A31</f>
        <v>0</v>
      </c>
      <c r="B31" t="str">
        <f>IFERROR(VLOOKUP($A31,Products!$A:$G,2,FALSE),"")</f>
        <v/>
      </c>
      <c r="G31">
        <f>Products!I31</f>
        <v>0</v>
      </c>
      <c r="H31">
        <f>SUMIF(Purchases!H:H,A31,Purchases!M:M)</f>
        <v>0</v>
      </c>
      <c r="I31">
        <f>SUMIF(Sales!E:E,A31,Sales!G:G)</f>
        <v>0</v>
      </c>
      <c r="J31">
        <f>G31+H31-I31</f>
        <v>0</v>
      </c>
      <c r="K31" t="str">
        <f>IF(J31&lt;=Products!J31,"LOW STOCK","OK")</f>
        <v>LOW STOCK</v>
      </c>
    </row>
    <row r="32" spans="1:11" x14ac:dyDescent="0.25">
      <c r="A32">
        <f>Products!A32</f>
        <v>0</v>
      </c>
      <c r="B32" t="str">
        <f>IFERROR(VLOOKUP($A32,Products!$A:$G,2,FALSE),"")</f>
        <v/>
      </c>
      <c r="G32">
        <f>Products!I32</f>
        <v>0</v>
      </c>
      <c r="H32">
        <f>SUMIF(Purchases!H:H,A32,Purchases!M:M)</f>
        <v>0</v>
      </c>
      <c r="I32">
        <f>SUMIF(Sales!E:E,A32,Sales!G:G)</f>
        <v>0</v>
      </c>
      <c r="J32">
        <f>G32+H32-I32</f>
        <v>0</v>
      </c>
      <c r="K32" t="str">
        <f>IF(J32&lt;=Products!J32,"LOW STOCK","OK")</f>
        <v>LOW STOCK</v>
      </c>
    </row>
    <row r="33" spans="1:11" x14ac:dyDescent="0.25">
      <c r="A33">
        <f>Products!A33</f>
        <v>0</v>
      </c>
      <c r="B33" t="str">
        <f>IFERROR(VLOOKUP($A33,Products!$A:$G,2,FALSE),"")</f>
        <v/>
      </c>
      <c r="G33">
        <f>Products!I33</f>
        <v>0</v>
      </c>
      <c r="H33">
        <f>SUMIF(Purchases!H:H,A33,Purchases!M:M)</f>
        <v>0</v>
      </c>
      <c r="I33">
        <f>SUMIF(Sales!E:E,A33,Sales!G:G)</f>
        <v>0</v>
      </c>
      <c r="J33">
        <f>G33+H33-I33</f>
        <v>0</v>
      </c>
      <c r="K33" t="str">
        <f>IF(J33&lt;=Products!J33,"LOW STOCK","OK")</f>
        <v>LOW STOCK</v>
      </c>
    </row>
    <row r="34" spans="1:11" x14ac:dyDescent="0.25">
      <c r="A34">
        <f>Products!A34</f>
        <v>0</v>
      </c>
      <c r="B34" t="str">
        <f>IFERROR(VLOOKUP($A34,Products!$A:$G,2,FALSE),"")</f>
        <v/>
      </c>
      <c r="G34">
        <f>Products!I34</f>
        <v>0</v>
      </c>
      <c r="H34">
        <f>SUMIF(Purchases!H:H,A34,Purchases!M:M)</f>
        <v>0</v>
      </c>
      <c r="I34">
        <f>SUMIF(Sales!E:E,A34,Sales!G:G)</f>
        <v>0</v>
      </c>
      <c r="J34">
        <f>G34+H34-I34</f>
        <v>0</v>
      </c>
      <c r="K34" t="str">
        <f>IF(J34&lt;=Products!J34,"LOW STOCK","OK")</f>
        <v>LOW STOCK</v>
      </c>
    </row>
    <row r="35" spans="1:11" x14ac:dyDescent="0.25">
      <c r="A35">
        <f>Products!A35</f>
        <v>0</v>
      </c>
      <c r="B35" t="str">
        <f>IFERROR(VLOOKUP($A35,Products!$A:$G,2,FALSE),"")</f>
        <v/>
      </c>
      <c r="G35">
        <f>Products!I35</f>
        <v>0</v>
      </c>
      <c r="H35">
        <f>SUMIF(Purchases!H:H,A35,Purchases!M:M)</f>
        <v>0</v>
      </c>
      <c r="I35">
        <f>SUMIF(Sales!E:E,A35,Sales!G:G)</f>
        <v>0</v>
      </c>
      <c r="J35">
        <f>G35+H35-I35</f>
        <v>0</v>
      </c>
      <c r="K35" t="str">
        <f>IF(J35&lt;=Products!J35,"LOW STOCK","OK")</f>
        <v>LOW STOCK</v>
      </c>
    </row>
    <row r="36" spans="1:11" x14ac:dyDescent="0.25">
      <c r="A36">
        <f>Products!A36</f>
        <v>0</v>
      </c>
      <c r="B36" t="str">
        <f>IFERROR(VLOOKUP($A36,Products!$A:$G,2,FALSE),"")</f>
        <v/>
      </c>
      <c r="G36">
        <f>Products!I36</f>
        <v>0</v>
      </c>
      <c r="H36">
        <f>SUMIF(Purchases!H:H,A36,Purchases!M:M)</f>
        <v>0</v>
      </c>
      <c r="I36">
        <f>SUMIF(Sales!E:E,A36,Sales!G:G)</f>
        <v>0</v>
      </c>
      <c r="J36">
        <f>G36+H36-I36</f>
        <v>0</v>
      </c>
      <c r="K36" t="str">
        <f>IF(J36&lt;=Products!J36,"LOW STOCK","OK")</f>
        <v>LOW STOCK</v>
      </c>
    </row>
    <row r="37" spans="1:11" x14ac:dyDescent="0.25">
      <c r="A37">
        <f>Products!A37</f>
        <v>0</v>
      </c>
      <c r="B37" t="str">
        <f>IFERROR(VLOOKUP($A37,Products!$A:$G,2,FALSE),"")</f>
        <v/>
      </c>
      <c r="G37">
        <f>Products!I37</f>
        <v>0</v>
      </c>
      <c r="H37">
        <f>SUMIF(Purchases!H:H,A37,Purchases!M:M)</f>
        <v>0</v>
      </c>
      <c r="I37">
        <f>SUMIF(Sales!E:E,A37,Sales!G:G)</f>
        <v>0</v>
      </c>
      <c r="J37">
        <f>G37+H37-I37</f>
        <v>0</v>
      </c>
      <c r="K37" t="str">
        <f>IF(J37&lt;=Products!J37,"LOW STOCK","OK")</f>
        <v>LOW STOCK</v>
      </c>
    </row>
    <row r="38" spans="1:11" x14ac:dyDescent="0.25">
      <c r="A38">
        <f>Products!A38</f>
        <v>0</v>
      </c>
      <c r="B38" t="str">
        <f>IFERROR(VLOOKUP($A38,Products!$A:$G,2,FALSE),"")</f>
        <v/>
      </c>
      <c r="G38">
        <f>Products!I38</f>
        <v>0</v>
      </c>
      <c r="H38">
        <f>SUMIF(Purchases!H:H,A38,Purchases!M:M)</f>
        <v>0</v>
      </c>
      <c r="I38">
        <f>SUMIF(Sales!E:E,A38,Sales!G:G)</f>
        <v>0</v>
      </c>
      <c r="J38">
        <f>G38+H38-I38</f>
        <v>0</v>
      </c>
      <c r="K38" t="str">
        <f>IF(J38&lt;=Products!J38,"LOW STOCK","OK")</f>
        <v>LOW STOCK</v>
      </c>
    </row>
    <row r="39" spans="1:11" x14ac:dyDescent="0.25">
      <c r="A39">
        <f>Products!A39</f>
        <v>0</v>
      </c>
      <c r="B39" t="str">
        <f>IFERROR(VLOOKUP($A39,Products!$A:$G,2,FALSE),"")</f>
        <v/>
      </c>
      <c r="G39">
        <f>Products!I39</f>
        <v>0</v>
      </c>
      <c r="H39">
        <f>SUMIF(Purchases!H:H,A39,Purchases!M:M)</f>
        <v>0</v>
      </c>
      <c r="I39">
        <f>SUMIF(Sales!E:E,A39,Sales!G:G)</f>
        <v>0</v>
      </c>
      <c r="J39">
        <f>G39+H39-I39</f>
        <v>0</v>
      </c>
      <c r="K39" t="str">
        <f>IF(J39&lt;=Products!J39,"LOW STOCK","OK")</f>
        <v>LOW STOCK</v>
      </c>
    </row>
    <row r="40" spans="1:11" x14ac:dyDescent="0.25">
      <c r="A40">
        <f>Products!A40</f>
        <v>0</v>
      </c>
      <c r="B40" t="str">
        <f>IFERROR(VLOOKUP($A40,Products!$A:$G,2,FALSE),"")</f>
        <v/>
      </c>
      <c r="G40">
        <f>Products!I40</f>
        <v>0</v>
      </c>
      <c r="H40">
        <f>SUMIF(Purchases!H:H,A40,Purchases!M:M)</f>
        <v>0</v>
      </c>
      <c r="I40">
        <f>SUMIF(Sales!E:E,A40,Sales!G:G)</f>
        <v>0</v>
      </c>
      <c r="J40">
        <f>G40+H40-I40</f>
        <v>0</v>
      </c>
      <c r="K40" t="str">
        <f>IF(J40&lt;=Products!J40,"LOW STOCK","OK")</f>
        <v>LOW STOCK</v>
      </c>
    </row>
    <row r="41" spans="1:11" x14ac:dyDescent="0.25">
      <c r="A41">
        <f>Products!A41</f>
        <v>0</v>
      </c>
      <c r="B41" t="str">
        <f>IFERROR(VLOOKUP($A41,Products!$A:$G,2,FALSE),"")</f>
        <v/>
      </c>
      <c r="G41">
        <f>Products!I41</f>
        <v>0</v>
      </c>
      <c r="H41">
        <f>SUMIF(Purchases!H:H,A41,Purchases!M:M)</f>
        <v>0</v>
      </c>
      <c r="I41">
        <f>SUMIF(Sales!E:E,A41,Sales!G:G)</f>
        <v>0</v>
      </c>
      <c r="J41">
        <f>G41+H41-I41</f>
        <v>0</v>
      </c>
      <c r="K41" t="str">
        <f>IF(J41&lt;=Products!J41,"LOW STOCK","OK")</f>
        <v>LOW STOCK</v>
      </c>
    </row>
    <row r="42" spans="1:11" x14ac:dyDescent="0.25">
      <c r="A42">
        <f>Products!A42</f>
        <v>0</v>
      </c>
      <c r="B42" t="str">
        <f>IFERROR(VLOOKUP($A42,Products!$A:$G,2,FALSE),"")</f>
        <v/>
      </c>
      <c r="G42">
        <f>Products!I42</f>
        <v>0</v>
      </c>
      <c r="H42">
        <f>SUMIF(Purchases!H:H,A42,Purchases!M:M)</f>
        <v>0</v>
      </c>
      <c r="I42">
        <f>SUMIF(Sales!E:E,A42,Sales!G:G)</f>
        <v>0</v>
      </c>
      <c r="J42">
        <f>G42+H42-I42</f>
        <v>0</v>
      </c>
      <c r="K42" t="str">
        <f>IF(J42&lt;=Products!J42,"LOW STOCK","OK")</f>
        <v>LOW STOCK</v>
      </c>
    </row>
    <row r="43" spans="1:11" x14ac:dyDescent="0.25">
      <c r="A43">
        <f>Products!A43</f>
        <v>0</v>
      </c>
      <c r="B43" t="str">
        <f>IFERROR(VLOOKUP($A43,Products!$A:$G,2,FALSE),"")</f>
        <v/>
      </c>
      <c r="G43">
        <f>Products!I43</f>
        <v>0</v>
      </c>
      <c r="H43">
        <f>SUMIF(Purchases!H:H,A43,Purchases!M:M)</f>
        <v>0</v>
      </c>
      <c r="I43">
        <f>SUMIF(Sales!E:E,A43,Sales!G:G)</f>
        <v>0</v>
      </c>
      <c r="J43">
        <f>G43+H43-I43</f>
        <v>0</v>
      </c>
      <c r="K43" t="str">
        <f>IF(J43&lt;=Products!J43,"LOW STOCK","OK")</f>
        <v>LOW STOCK</v>
      </c>
    </row>
    <row r="44" spans="1:11" x14ac:dyDescent="0.25">
      <c r="A44">
        <f>Products!A44</f>
        <v>0</v>
      </c>
      <c r="B44" t="str">
        <f>IFERROR(VLOOKUP($A44,Products!$A:$G,2,FALSE),"")</f>
        <v/>
      </c>
      <c r="G44">
        <f>Products!I44</f>
        <v>0</v>
      </c>
      <c r="H44">
        <f>SUMIF(Purchases!H:H,A44,Purchases!M:M)</f>
        <v>0</v>
      </c>
      <c r="I44">
        <f>SUMIF(Sales!E:E,A44,Sales!G:G)</f>
        <v>0</v>
      </c>
      <c r="J44">
        <f>G44+H44-I44</f>
        <v>0</v>
      </c>
      <c r="K44" t="str">
        <f>IF(J44&lt;=Products!J44,"LOW STOCK","OK")</f>
        <v>LOW STOCK</v>
      </c>
    </row>
    <row r="45" spans="1:11" x14ac:dyDescent="0.25">
      <c r="A45">
        <f>Products!A45</f>
        <v>0</v>
      </c>
      <c r="B45" t="str">
        <f>IFERROR(VLOOKUP($A45,Products!$A:$G,2,FALSE),"")</f>
        <v/>
      </c>
      <c r="G45">
        <f>Products!I45</f>
        <v>0</v>
      </c>
      <c r="H45">
        <f>SUMIF(Purchases!H:H,A45,Purchases!M:M)</f>
        <v>0</v>
      </c>
      <c r="I45">
        <f>SUMIF(Sales!E:E,A45,Sales!G:G)</f>
        <v>0</v>
      </c>
      <c r="J45">
        <f>G45+H45-I45</f>
        <v>0</v>
      </c>
      <c r="K45" t="str">
        <f>IF(J45&lt;=Products!J45,"LOW STOCK","OK")</f>
        <v>LOW STOCK</v>
      </c>
    </row>
    <row r="46" spans="1:11" x14ac:dyDescent="0.25">
      <c r="A46">
        <f>Products!A46</f>
        <v>0</v>
      </c>
      <c r="B46" t="str">
        <f>IFERROR(VLOOKUP($A46,Products!$A:$G,2,FALSE),"")</f>
        <v/>
      </c>
      <c r="G46">
        <f>Products!I46</f>
        <v>0</v>
      </c>
      <c r="H46">
        <f>SUMIF(Purchases!H:H,A46,Purchases!M:M)</f>
        <v>0</v>
      </c>
      <c r="I46">
        <f>SUMIF(Sales!E:E,A46,Sales!G:G)</f>
        <v>0</v>
      </c>
      <c r="J46">
        <f>G46+H46-I46</f>
        <v>0</v>
      </c>
      <c r="K46" t="str">
        <f>IF(J46&lt;=Products!J46,"LOW STOCK","OK")</f>
        <v>LOW STOCK</v>
      </c>
    </row>
    <row r="47" spans="1:11" x14ac:dyDescent="0.25">
      <c r="A47">
        <f>Products!A47</f>
        <v>0</v>
      </c>
      <c r="B47" t="str">
        <f>IFERROR(VLOOKUP($A47,Products!$A:$G,2,FALSE),"")</f>
        <v/>
      </c>
      <c r="G47">
        <f>Products!I47</f>
        <v>0</v>
      </c>
      <c r="H47">
        <f>SUMIF(Purchases!H:H,A47,Purchases!M:M)</f>
        <v>0</v>
      </c>
      <c r="I47">
        <f>SUMIF(Sales!E:E,A47,Sales!G:G)</f>
        <v>0</v>
      </c>
      <c r="J47">
        <f>G47+H47-I47</f>
        <v>0</v>
      </c>
      <c r="K47" t="str">
        <f>IF(J47&lt;=Products!J47,"LOW STOCK","OK")</f>
        <v>LOW STOCK</v>
      </c>
    </row>
    <row r="48" spans="1:11" x14ac:dyDescent="0.25">
      <c r="A48">
        <f>Products!A48</f>
        <v>0</v>
      </c>
      <c r="B48" t="str">
        <f>IFERROR(VLOOKUP($A48,Products!$A:$G,2,FALSE),"")</f>
        <v/>
      </c>
      <c r="G48">
        <f>Products!I48</f>
        <v>0</v>
      </c>
      <c r="H48">
        <f>SUMIF(Purchases!H:H,A48,Purchases!M:M)</f>
        <v>0</v>
      </c>
      <c r="I48">
        <f>SUMIF(Sales!E:E,A48,Sales!G:G)</f>
        <v>0</v>
      </c>
      <c r="J48">
        <f>G48+H48-I48</f>
        <v>0</v>
      </c>
      <c r="K48" t="str">
        <f>IF(J48&lt;=Products!J48,"LOW STOCK","OK")</f>
        <v>LOW STOCK</v>
      </c>
    </row>
    <row r="49" spans="1:11" x14ac:dyDescent="0.25">
      <c r="A49">
        <f>Products!A49</f>
        <v>0</v>
      </c>
      <c r="B49" t="str">
        <f>IFERROR(VLOOKUP($A49,Products!$A:$G,2,FALSE),"")</f>
        <v/>
      </c>
      <c r="G49">
        <f>Products!I49</f>
        <v>0</v>
      </c>
      <c r="H49">
        <f>SUMIF(Purchases!H:H,A49,Purchases!M:M)</f>
        <v>0</v>
      </c>
      <c r="I49">
        <f>SUMIF(Sales!E:E,A49,Sales!G:G)</f>
        <v>0</v>
      </c>
      <c r="J49">
        <f>G49+H49-I49</f>
        <v>0</v>
      </c>
      <c r="K49" t="str">
        <f>IF(J49&lt;=Products!J49,"LOW STOCK","OK")</f>
        <v>LOW STOCK</v>
      </c>
    </row>
    <row r="50" spans="1:11" x14ac:dyDescent="0.25">
      <c r="A50">
        <f>Products!A50</f>
        <v>0</v>
      </c>
      <c r="B50" t="str">
        <f>IFERROR(VLOOKUP($A50,Products!$A:$G,2,FALSE),"")</f>
        <v/>
      </c>
      <c r="G50">
        <f>Products!I50</f>
        <v>0</v>
      </c>
      <c r="H50">
        <f>SUMIF(Purchases!H:H,A50,Purchases!M:M)</f>
        <v>0</v>
      </c>
      <c r="I50">
        <f>SUMIF(Sales!E:E,A50,Sales!G:G)</f>
        <v>0</v>
      </c>
      <c r="J50">
        <f>G50+H50-I50</f>
        <v>0</v>
      </c>
      <c r="K50" t="str">
        <f>IF(J50&lt;=Products!J50,"LOW STOCK","OK")</f>
        <v>LOW STOCK</v>
      </c>
    </row>
    <row r="51" spans="1:11" x14ac:dyDescent="0.25">
      <c r="A51">
        <f>Products!A51</f>
        <v>0</v>
      </c>
      <c r="B51" t="str">
        <f>IFERROR(VLOOKUP($A51,Products!$A:$G,2,FALSE),"")</f>
        <v/>
      </c>
      <c r="G51">
        <f>Products!I51</f>
        <v>0</v>
      </c>
      <c r="H51">
        <f>SUMIF(Purchases!H:H,A51,Purchases!M:M)</f>
        <v>0</v>
      </c>
      <c r="I51">
        <f>SUMIF(Sales!E:E,A51,Sales!G:G)</f>
        <v>0</v>
      </c>
      <c r="J51">
        <f>G51+H51-I51</f>
        <v>0</v>
      </c>
      <c r="K51" t="str">
        <f>IF(J51&lt;=Products!J51,"LOW STOCK","OK")</f>
        <v>LOW STOCK</v>
      </c>
    </row>
    <row r="52" spans="1:11" x14ac:dyDescent="0.25">
      <c r="A52">
        <f>Products!A52</f>
        <v>0</v>
      </c>
      <c r="B52" t="str">
        <f>IFERROR(VLOOKUP($A52,Products!$A:$G,2,FALSE),"")</f>
        <v/>
      </c>
      <c r="G52">
        <f>Products!I52</f>
        <v>0</v>
      </c>
      <c r="H52">
        <f>SUMIF(Purchases!H:H,A52,Purchases!M:M)</f>
        <v>0</v>
      </c>
      <c r="I52">
        <f>SUMIF(Sales!E:E,A52,Sales!G:G)</f>
        <v>0</v>
      </c>
      <c r="J52">
        <f>G52+H52-I52</f>
        <v>0</v>
      </c>
      <c r="K52" t="str">
        <f>IF(J52&lt;=Products!J52,"LOW STOCK","OK")</f>
        <v>LOW STOCK</v>
      </c>
    </row>
    <row r="53" spans="1:11" x14ac:dyDescent="0.25">
      <c r="A53">
        <f>Products!A53</f>
        <v>0</v>
      </c>
      <c r="B53" t="str">
        <f>IFERROR(VLOOKUP($A53,Products!$A:$G,2,FALSE),"")</f>
        <v/>
      </c>
      <c r="G53">
        <f>Products!I53</f>
        <v>0</v>
      </c>
      <c r="H53">
        <f>SUMIF(Purchases!H:H,A53,Purchases!M:M)</f>
        <v>0</v>
      </c>
      <c r="I53">
        <f>SUMIF(Sales!E:E,A53,Sales!G:G)</f>
        <v>0</v>
      </c>
      <c r="J53">
        <f>G53+H53-I53</f>
        <v>0</v>
      </c>
      <c r="K53" t="str">
        <f>IF(J53&lt;=Products!J53,"LOW STOCK","OK")</f>
        <v>LOW STOCK</v>
      </c>
    </row>
    <row r="54" spans="1:11" x14ac:dyDescent="0.25">
      <c r="A54">
        <f>Products!A54</f>
        <v>0</v>
      </c>
      <c r="B54" t="str">
        <f>IFERROR(VLOOKUP($A54,Products!$A:$G,2,FALSE),"")</f>
        <v/>
      </c>
      <c r="G54">
        <f>Products!I54</f>
        <v>0</v>
      </c>
      <c r="H54">
        <f>SUMIF(Purchases!H:H,A54,Purchases!M:M)</f>
        <v>0</v>
      </c>
      <c r="I54">
        <f>SUMIF(Sales!E:E,A54,Sales!G:G)</f>
        <v>0</v>
      </c>
      <c r="J54">
        <f>G54+H54-I54</f>
        <v>0</v>
      </c>
      <c r="K54" t="str">
        <f>IF(J54&lt;=Products!J54,"LOW STOCK","OK")</f>
        <v>LOW STOCK</v>
      </c>
    </row>
    <row r="55" spans="1:11" x14ac:dyDescent="0.25">
      <c r="A55">
        <f>Products!A55</f>
        <v>0</v>
      </c>
      <c r="B55" t="str">
        <f>IFERROR(VLOOKUP($A55,Products!$A:$G,2,FALSE),"")</f>
        <v/>
      </c>
      <c r="G55">
        <f>Products!I55</f>
        <v>0</v>
      </c>
      <c r="H55">
        <f>SUMIF(Purchases!H:H,A55,Purchases!M:M)</f>
        <v>0</v>
      </c>
      <c r="I55">
        <f>SUMIF(Sales!E:E,A55,Sales!G:G)</f>
        <v>0</v>
      </c>
      <c r="J55">
        <f>G55+H55-I55</f>
        <v>0</v>
      </c>
      <c r="K55" t="str">
        <f>IF(J55&lt;=Products!J55,"LOW STOCK","OK")</f>
        <v>LOW STOCK</v>
      </c>
    </row>
    <row r="56" spans="1:11" x14ac:dyDescent="0.25">
      <c r="A56">
        <f>Products!A56</f>
        <v>0</v>
      </c>
      <c r="B56" t="str">
        <f>IFERROR(VLOOKUP($A56,Products!$A:$G,2,FALSE),"")</f>
        <v/>
      </c>
      <c r="G56">
        <f>Products!I56</f>
        <v>0</v>
      </c>
      <c r="H56">
        <f>SUMIF(Purchases!H:H,A56,Purchases!M:M)</f>
        <v>0</v>
      </c>
      <c r="I56">
        <f>SUMIF(Sales!E:E,A56,Sales!G:G)</f>
        <v>0</v>
      </c>
      <c r="J56">
        <f>G56+H56-I56</f>
        <v>0</v>
      </c>
      <c r="K56" t="str">
        <f>IF(J56&lt;=Products!J56,"LOW STOCK","OK")</f>
        <v>LOW STOCK</v>
      </c>
    </row>
    <row r="57" spans="1:11" x14ac:dyDescent="0.25">
      <c r="A57">
        <f>Products!A57</f>
        <v>0</v>
      </c>
      <c r="B57" t="str">
        <f>IFERROR(VLOOKUP($A57,Products!$A:$G,2,FALSE),"")</f>
        <v/>
      </c>
      <c r="G57">
        <f>Products!I57</f>
        <v>0</v>
      </c>
      <c r="H57">
        <f>SUMIF(Purchases!H:H,A57,Purchases!M:M)</f>
        <v>0</v>
      </c>
      <c r="I57">
        <f>SUMIF(Sales!E:E,A57,Sales!G:G)</f>
        <v>0</v>
      </c>
      <c r="J57">
        <f>G57+H57-I57</f>
        <v>0</v>
      </c>
      <c r="K57" t="str">
        <f>IF(J57&lt;=Products!J57,"LOW STOCK","OK")</f>
        <v>LOW STOCK</v>
      </c>
    </row>
    <row r="58" spans="1:11" x14ac:dyDescent="0.25">
      <c r="A58">
        <f>Products!A58</f>
        <v>0</v>
      </c>
      <c r="B58" t="str">
        <f>IFERROR(VLOOKUP($A58,Products!$A:$G,2,FALSE),"")</f>
        <v/>
      </c>
      <c r="G58">
        <f>Products!I58</f>
        <v>0</v>
      </c>
      <c r="H58">
        <f>SUMIF(Purchases!H:H,A58,Purchases!M:M)</f>
        <v>0</v>
      </c>
      <c r="I58">
        <f>SUMIF(Sales!E:E,A58,Sales!G:G)</f>
        <v>0</v>
      </c>
      <c r="J58">
        <f>G58+H58-I58</f>
        <v>0</v>
      </c>
      <c r="K58" t="str">
        <f>IF(J58&lt;=Products!J58,"LOW STOCK","OK")</f>
        <v>LOW STOCK</v>
      </c>
    </row>
    <row r="59" spans="1:11" x14ac:dyDescent="0.25">
      <c r="A59">
        <f>Products!A59</f>
        <v>0</v>
      </c>
      <c r="B59" t="str">
        <f>IFERROR(VLOOKUP($A59,Products!$A:$G,2,FALSE),"")</f>
        <v/>
      </c>
      <c r="G59">
        <f>Products!I59</f>
        <v>0</v>
      </c>
      <c r="H59">
        <f>SUMIF(Purchases!H:H,A59,Purchases!M:M)</f>
        <v>0</v>
      </c>
      <c r="I59">
        <f>SUMIF(Sales!E:E,A59,Sales!G:G)</f>
        <v>0</v>
      </c>
      <c r="J59">
        <f>G59+H59-I59</f>
        <v>0</v>
      </c>
      <c r="K59" t="str">
        <f>IF(J59&lt;=Products!J59,"LOW STOCK","OK")</f>
        <v>LOW STOCK</v>
      </c>
    </row>
    <row r="60" spans="1:11" x14ac:dyDescent="0.25">
      <c r="A60">
        <f>Products!A60</f>
        <v>0</v>
      </c>
      <c r="B60" t="str">
        <f>IFERROR(VLOOKUP($A60,Products!$A:$G,2,FALSE),"")</f>
        <v/>
      </c>
      <c r="G60">
        <f>Products!I60</f>
        <v>0</v>
      </c>
      <c r="H60">
        <f>SUMIF(Purchases!H:H,A60,Purchases!M:M)</f>
        <v>0</v>
      </c>
      <c r="I60">
        <f>SUMIF(Sales!E:E,A60,Sales!G:G)</f>
        <v>0</v>
      </c>
      <c r="J60">
        <f>G60+H60-I60</f>
        <v>0</v>
      </c>
      <c r="K60" t="str">
        <f>IF(J60&lt;=Products!J60,"LOW STOCK","OK")</f>
        <v>LOW STOCK</v>
      </c>
    </row>
    <row r="61" spans="1:11" x14ac:dyDescent="0.25">
      <c r="A61">
        <f>Products!A61</f>
        <v>0</v>
      </c>
      <c r="B61" t="str">
        <f>IFERROR(VLOOKUP($A61,Products!$A:$G,2,FALSE),"")</f>
        <v/>
      </c>
      <c r="G61">
        <f>Products!I61</f>
        <v>0</v>
      </c>
      <c r="H61">
        <f>SUMIF(Purchases!H:H,A61,Purchases!M:M)</f>
        <v>0</v>
      </c>
      <c r="I61">
        <f>SUMIF(Sales!E:E,A61,Sales!G:G)</f>
        <v>0</v>
      </c>
      <c r="J61">
        <f>G61+H61-I61</f>
        <v>0</v>
      </c>
      <c r="K61" t="str">
        <f>IF(J61&lt;=Products!J61,"LOW STOCK","OK")</f>
        <v>LOW STOCK</v>
      </c>
    </row>
    <row r="62" spans="1:11" x14ac:dyDescent="0.25">
      <c r="A62">
        <f>Products!A62</f>
        <v>0</v>
      </c>
      <c r="B62" t="str">
        <f>IFERROR(VLOOKUP($A62,Products!$A:$G,2,FALSE),"")</f>
        <v/>
      </c>
      <c r="G62">
        <f>Products!I62</f>
        <v>0</v>
      </c>
      <c r="H62">
        <f>SUMIF(Purchases!H:H,A62,Purchases!M:M)</f>
        <v>0</v>
      </c>
      <c r="I62">
        <f>SUMIF(Sales!E:E,A62,Sales!G:G)</f>
        <v>0</v>
      </c>
      <c r="J62">
        <f>G62+H62-I62</f>
        <v>0</v>
      </c>
      <c r="K62" t="str">
        <f>IF(J62&lt;=Products!J62,"LOW STOCK","OK")</f>
        <v>LOW STOCK</v>
      </c>
    </row>
    <row r="63" spans="1:11" x14ac:dyDescent="0.25">
      <c r="A63">
        <f>Products!A63</f>
        <v>0</v>
      </c>
      <c r="B63" t="str">
        <f>IFERROR(VLOOKUP($A63,Products!$A:$G,2,FALSE),"")</f>
        <v/>
      </c>
      <c r="G63">
        <f>Products!I63</f>
        <v>0</v>
      </c>
      <c r="H63">
        <f>SUMIF(Purchases!H:H,A63,Purchases!M:M)</f>
        <v>0</v>
      </c>
      <c r="I63">
        <f>SUMIF(Sales!E:E,A63,Sales!G:G)</f>
        <v>0</v>
      </c>
      <c r="J63">
        <f>G63+H63-I63</f>
        <v>0</v>
      </c>
      <c r="K63" t="str">
        <f>IF(J63&lt;=Products!J63,"LOW STOCK","OK")</f>
        <v>LOW STOCK</v>
      </c>
    </row>
    <row r="64" spans="1:11" x14ac:dyDescent="0.25">
      <c r="A64">
        <f>Products!A64</f>
        <v>0</v>
      </c>
      <c r="B64" t="str">
        <f>IFERROR(VLOOKUP($A64,Products!$A:$G,2,FALSE),"")</f>
        <v/>
      </c>
      <c r="G64">
        <f>Products!I64</f>
        <v>0</v>
      </c>
      <c r="H64">
        <f>SUMIF(Purchases!H:H,A64,Purchases!M:M)</f>
        <v>0</v>
      </c>
      <c r="I64">
        <f>SUMIF(Sales!E:E,A64,Sales!G:G)</f>
        <v>0</v>
      </c>
      <c r="J64">
        <f>G64+H64-I64</f>
        <v>0</v>
      </c>
      <c r="K64" t="str">
        <f>IF(J64&lt;=Products!J64,"LOW STOCK","OK")</f>
        <v>LOW STOCK</v>
      </c>
    </row>
    <row r="65" spans="1:11" x14ac:dyDescent="0.25">
      <c r="A65">
        <f>Products!A65</f>
        <v>0</v>
      </c>
      <c r="B65" t="str">
        <f>IFERROR(VLOOKUP($A65,Products!$A:$G,2,FALSE),"")</f>
        <v/>
      </c>
      <c r="G65">
        <f>Products!I65</f>
        <v>0</v>
      </c>
      <c r="H65">
        <f>SUMIF(Purchases!H:H,A65,Purchases!M:M)</f>
        <v>0</v>
      </c>
      <c r="I65">
        <f>SUMIF(Sales!E:E,A65,Sales!G:G)</f>
        <v>0</v>
      </c>
      <c r="J65">
        <f>G65+H65-I65</f>
        <v>0</v>
      </c>
      <c r="K65" t="str">
        <f>IF(J65&lt;=Products!J65,"LOW STOCK","OK")</f>
        <v>LOW STOCK</v>
      </c>
    </row>
    <row r="66" spans="1:11" x14ac:dyDescent="0.25">
      <c r="A66">
        <f>Products!A66</f>
        <v>0</v>
      </c>
      <c r="B66" t="str">
        <f>IFERROR(VLOOKUP($A66,Products!$A:$G,2,FALSE),"")</f>
        <v/>
      </c>
      <c r="G66">
        <f>Products!I66</f>
        <v>0</v>
      </c>
      <c r="H66">
        <f>SUMIF(Purchases!H:H,A66,Purchases!M:M)</f>
        <v>0</v>
      </c>
      <c r="I66">
        <f>SUMIF(Sales!E:E,A66,Sales!G:G)</f>
        <v>0</v>
      </c>
      <c r="J66">
        <f>G66+H66-I66</f>
        <v>0</v>
      </c>
      <c r="K66" t="str">
        <f>IF(J66&lt;=Products!J66,"LOW STOCK","OK")</f>
        <v>LOW STOCK</v>
      </c>
    </row>
    <row r="67" spans="1:11" x14ac:dyDescent="0.25">
      <c r="A67">
        <f>Products!A67</f>
        <v>0</v>
      </c>
      <c r="B67" t="str">
        <f>IFERROR(VLOOKUP($A67,Products!$A:$G,2,FALSE),"")</f>
        <v/>
      </c>
      <c r="G67">
        <f>Products!I67</f>
        <v>0</v>
      </c>
      <c r="H67">
        <f>SUMIF(Purchases!H:H,A67,Purchases!M:M)</f>
        <v>0</v>
      </c>
      <c r="I67">
        <f>SUMIF(Sales!E:E,A67,Sales!G:G)</f>
        <v>0</v>
      </c>
      <c r="J67">
        <f>G67+H67-I67</f>
        <v>0</v>
      </c>
      <c r="K67" t="str">
        <f>IF(J67&lt;=Products!J67,"LOW STOCK","OK")</f>
        <v>LOW STOCK</v>
      </c>
    </row>
    <row r="68" spans="1:11" x14ac:dyDescent="0.25">
      <c r="A68">
        <f>Products!A68</f>
        <v>0</v>
      </c>
      <c r="B68" t="str">
        <f>IFERROR(VLOOKUP($A68,Products!$A:$G,2,FALSE),"")</f>
        <v/>
      </c>
      <c r="G68">
        <f>Products!I68</f>
        <v>0</v>
      </c>
      <c r="H68">
        <f>SUMIF(Purchases!H:H,A68,Purchases!M:M)</f>
        <v>0</v>
      </c>
      <c r="I68">
        <f>SUMIF(Sales!E:E,A68,Sales!G:G)</f>
        <v>0</v>
      </c>
      <c r="J68">
        <f>G68+H68-I68</f>
        <v>0</v>
      </c>
      <c r="K68" t="str">
        <f>IF(J68&lt;=Products!J68,"LOW STOCK","OK")</f>
        <v>LOW STOCK</v>
      </c>
    </row>
    <row r="69" spans="1:11" x14ac:dyDescent="0.25">
      <c r="A69">
        <f>Products!A69</f>
        <v>0</v>
      </c>
      <c r="B69" t="str">
        <f>IFERROR(VLOOKUP($A69,Products!$A:$G,2,FALSE),"")</f>
        <v/>
      </c>
      <c r="G69">
        <f>Products!I69</f>
        <v>0</v>
      </c>
      <c r="H69">
        <f>SUMIF(Purchases!H:H,A69,Purchases!M:M)</f>
        <v>0</v>
      </c>
      <c r="I69">
        <f>SUMIF(Sales!E:E,A69,Sales!G:G)</f>
        <v>0</v>
      </c>
      <c r="J69">
        <f>G69+H69-I69</f>
        <v>0</v>
      </c>
      <c r="K69" t="str">
        <f>IF(J69&lt;=Products!J69,"LOW STOCK","OK")</f>
        <v>LOW STOCK</v>
      </c>
    </row>
    <row r="70" spans="1:11" x14ac:dyDescent="0.25">
      <c r="A70">
        <f>Products!A70</f>
        <v>0</v>
      </c>
      <c r="B70" t="str">
        <f>IFERROR(VLOOKUP($A70,Products!$A:$G,2,FALSE),"")</f>
        <v/>
      </c>
      <c r="G70">
        <f>Products!I70</f>
        <v>0</v>
      </c>
      <c r="H70">
        <f>SUMIF(Purchases!H:H,A70,Purchases!M:M)</f>
        <v>0</v>
      </c>
      <c r="I70">
        <f>SUMIF(Sales!E:E,A70,Sales!G:G)</f>
        <v>0</v>
      </c>
      <c r="J70">
        <f>G70+H70-I70</f>
        <v>0</v>
      </c>
      <c r="K70" t="str">
        <f>IF(J70&lt;=Products!J70,"LOW STOCK","OK")</f>
        <v>LOW STOCK</v>
      </c>
    </row>
    <row r="71" spans="1:11" x14ac:dyDescent="0.25">
      <c r="A71">
        <f>Products!A71</f>
        <v>0</v>
      </c>
      <c r="B71" t="str">
        <f>IFERROR(VLOOKUP($A71,Products!$A:$G,2,FALSE),"")</f>
        <v/>
      </c>
      <c r="G71">
        <f>Products!I71</f>
        <v>0</v>
      </c>
      <c r="H71">
        <f>SUMIF(Purchases!H:H,A71,Purchases!M:M)</f>
        <v>0</v>
      </c>
      <c r="I71">
        <f>SUMIF(Sales!E:E,A71,Sales!G:G)</f>
        <v>0</v>
      </c>
      <c r="J71">
        <f>G71+H71-I71</f>
        <v>0</v>
      </c>
      <c r="K71" t="str">
        <f>IF(J71&lt;=Products!J71,"LOW STOCK","OK")</f>
        <v>LOW STOCK</v>
      </c>
    </row>
    <row r="72" spans="1:11" x14ac:dyDescent="0.25">
      <c r="A72">
        <f>Products!A72</f>
        <v>0</v>
      </c>
      <c r="B72" t="str">
        <f>IFERROR(VLOOKUP($A72,Products!$A:$G,2,FALSE),"")</f>
        <v/>
      </c>
      <c r="G72">
        <f>Products!I72</f>
        <v>0</v>
      </c>
      <c r="H72">
        <f>SUMIF(Purchases!H:H,A72,Purchases!M:M)</f>
        <v>0</v>
      </c>
      <c r="I72">
        <f>SUMIF(Sales!E:E,A72,Sales!G:G)</f>
        <v>0</v>
      </c>
      <c r="J72">
        <f>G72+H72-I72</f>
        <v>0</v>
      </c>
      <c r="K72" t="str">
        <f>IF(J72&lt;=Products!J72,"LOW STOCK","OK")</f>
        <v>LOW STOCK</v>
      </c>
    </row>
    <row r="73" spans="1:11" x14ac:dyDescent="0.25">
      <c r="A73">
        <f>Products!A73</f>
        <v>0</v>
      </c>
      <c r="B73" t="str">
        <f>IFERROR(VLOOKUP($A73,Products!$A:$G,2,FALSE),"")</f>
        <v/>
      </c>
      <c r="G73">
        <f>Products!I73</f>
        <v>0</v>
      </c>
      <c r="H73">
        <f>SUMIF(Purchases!H:H,A73,Purchases!M:M)</f>
        <v>0</v>
      </c>
      <c r="I73">
        <f>SUMIF(Sales!E:E,A73,Sales!G:G)</f>
        <v>0</v>
      </c>
      <c r="J73">
        <f>G73+H73-I73</f>
        <v>0</v>
      </c>
      <c r="K73" t="str">
        <f>IF(J73&lt;=Products!J73,"LOW STOCK","OK")</f>
        <v>LOW STOCK</v>
      </c>
    </row>
    <row r="74" spans="1:11" x14ac:dyDescent="0.25">
      <c r="A74">
        <f>Products!A74</f>
        <v>0</v>
      </c>
      <c r="B74" t="str">
        <f>IFERROR(VLOOKUP($A74,Products!$A:$G,2,FALSE),"")</f>
        <v/>
      </c>
      <c r="G74">
        <f>Products!I74</f>
        <v>0</v>
      </c>
      <c r="H74">
        <f>SUMIF(Purchases!H:H,A74,Purchases!M:M)</f>
        <v>0</v>
      </c>
      <c r="I74">
        <f>SUMIF(Sales!E:E,A74,Sales!G:G)</f>
        <v>0</v>
      </c>
      <c r="J74">
        <f>G74+H74-I74</f>
        <v>0</v>
      </c>
      <c r="K74" t="str">
        <f>IF(J74&lt;=Products!J74,"LOW STOCK","OK")</f>
        <v>LOW STOCK</v>
      </c>
    </row>
    <row r="75" spans="1:11" x14ac:dyDescent="0.25">
      <c r="A75">
        <f>Products!A75</f>
        <v>0</v>
      </c>
      <c r="B75" t="str">
        <f>IFERROR(VLOOKUP($A75,Products!$A:$G,2,FALSE),"")</f>
        <v/>
      </c>
      <c r="G75">
        <f>Products!I75</f>
        <v>0</v>
      </c>
      <c r="H75">
        <f>SUMIF(Purchases!H:H,A75,Purchases!M:M)</f>
        <v>0</v>
      </c>
      <c r="I75">
        <f>SUMIF(Sales!E:E,A75,Sales!G:G)</f>
        <v>0</v>
      </c>
      <c r="J75">
        <f>G75+H75-I75</f>
        <v>0</v>
      </c>
      <c r="K75" t="str">
        <f>IF(J75&lt;=Products!J75,"LOW STOCK","OK")</f>
        <v>LOW STOCK</v>
      </c>
    </row>
    <row r="76" spans="1:11" x14ac:dyDescent="0.25">
      <c r="A76">
        <f>Products!A76</f>
        <v>0</v>
      </c>
      <c r="B76" t="str">
        <f>IFERROR(VLOOKUP($A76,Products!$A:$G,2,FALSE),"")</f>
        <v/>
      </c>
      <c r="G76">
        <f>Products!I76</f>
        <v>0</v>
      </c>
      <c r="H76">
        <f>SUMIF(Purchases!H:H,A76,Purchases!M:M)</f>
        <v>0</v>
      </c>
      <c r="I76">
        <f>SUMIF(Sales!E:E,A76,Sales!G:G)</f>
        <v>0</v>
      </c>
      <c r="J76">
        <f>G76+H76-I76</f>
        <v>0</v>
      </c>
      <c r="K76" t="str">
        <f>IF(J76&lt;=Products!J76,"LOW STOCK","OK")</f>
        <v>LOW STOCK</v>
      </c>
    </row>
    <row r="77" spans="1:11" x14ac:dyDescent="0.25">
      <c r="A77">
        <f>Products!A77</f>
        <v>0</v>
      </c>
      <c r="B77" t="str">
        <f>IFERROR(VLOOKUP($A77,Products!$A:$G,2,FALSE),"")</f>
        <v/>
      </c>
      <c r="G77">
        <f>Products!I77</f>
        <v>0</v>
      </c>
      <c r="H77">
        <f>SUMIF(Purchases!H:H,A77,Purchases!M:M)</f>
        <v>0</v>
      </c>
      <c r="I77">
        <f>SUMIF(Sales!E:E,A77,Sales!G:G)</f>
        <v>0</v>
      </c>
      <c r="J77">
        <f>G77+H77-I77</f>
        <v>0</v>
      </c>
      <c r="K77" t="str">
        <f>IF(J77&lt;=Products!J77,"LOW STOCK","OK")</f>
        <v>LOW STOCK</v>
      </c>
    </row>
    <row r="78" spans="1:11" x14ac:dyDescent="0.25">
      <c r="A78">
        <f>Products!A78</f>
        <v>0</v>
      </c>
      <c r="B78" t="str">
        <f>IFERROR(VLOOKUP($A78,Products!$A:$G,2,FALSE),"")</f>
        <v/>
      </c>
      <c r="G78">
        <f>Products!I78</f>
        <v>0</v>
      </c>
      <c r="H78">
        <f>SUMIF(Purchases!H:H,A78,Purchases!M:M)</f>
        <v>0</v>
      </c>
      <c r="I78">
        <f>SUMIF(Sales!E:E,A78,Sales!G:G)</f>
        <v>0</v>
      </c>
      <c r="J78">
        <f>G78+H78-I78</f>
        <v>0</v>
      </c>
      <c r="K78" t="str">
        <f>IF(J78&lt;=Products!J78,"LOW STOCK","OK")</f>
        <v>LOW STOCK</v>
      </c>
    </row>
    <row r="79" spans="1:11" x14ac:dyDescent="0.25">
      <c r="A79">
        <f>Products!A79</f>
        <v>0</v>
      </c>
      <c r="B79" t="str">
        <f>IFERROR(VLOOKUP($A79,Products!$A:$G,2,FALSE),"")</f>
        <v/>
      </c>
      <c r="G79">
        <f>Products!I79</f>
        <v>0</v>
      </c>
      <c r="H79">
        <f>SUMIF(Purchases!H:H,A79,Purchases!M:M)</f>
        <v>0</v>
      </c>
      <c r="I79">
        <f>SUMIF(Sales!E:E,A79,Sales!G:G)</f>
        <v>0</v>
      </c>
      <c r="J79">
        <f>G79+H79-I79</f>
        <v>0</v>
      </c>
      <c r="K79" t="str">
        <f>IF(J79&lt;=Products!J79,"LOW STOCK","OK")</f>
        <v>LOW STOCK</v>
      </c>
    </row>
    <row r="80" spans="1:11" x14ac:dyDescent="0.25">
      <c r="A80">
        <f>Products!A80</f>
        <v>0</v>
      </c>
      <c r="B80" t="str">
        <f>IFERROR(VLOOKUP($A80,Products!$A:$G,2,FALSE),"")</f>
        <v/>
      </c>
      <c r="G80">
        <f>Products!I80</f>
        <v>0</v>
      </c>
      <c r="H80">
        <f>SUMIF(Purchases!H:H,A80,Purchases!M:M)</f>
        <v>0</v>
      </c>
      <c r="I80">
        <f>SUMIF(Sales!E:E,A80,Sales!G:G)</f>
        <v>0</v>
      </c>
      <c r="J80">
        <f>G80+H80-I80</f>
        <v>0</v>
      </c>
      <c r="K80" t="str">
        <f>IF(J80&lt;=Products!J80,"LOW STOCK","OK")</f>
        <v>LOW STOCK</v>
      </c>
    </row>
    <row r="81" spans="1:11" x14ac:dyDescent="0.25">
      <c r="A81">
        <f>Products!A81</f>
        <v>0</v>
      </c>
      <c r="B81" t="str">
        <f>IFERROR(VLOOKUP($A81,Products!$A:$G,2,FALSE),"")</f>
        <v/>
      </c>
      <c r="G81">
        <f>Products!I81</f>
        <v>0</v>
      </c>
      <c r="H81">
        <f>SUMIF(Purchases!H:H,A81,Purchases!M:M)</f>
        <v>0</v>
      </c>
      <c r="I81">
        <f>SUMIF(Sales!E:E,A81,Sales!G:G)</f>
        <v>0</v>
      </c>
      <c r="J81">
        <f>G81+H81-I81</f>
        <v>0</v>
      </c>
      <c r="K81" t="str">
        <f>IF(J81&lt;=Products!J81,"LOW STOCK","OK")</f>
        <v>LOW STOCK</v>
      </c>
    </row>
    <row r="82" spans="1:11" x14ac:dyDescent="0.25">
      <c r="A82">
        <f>Products!A82</f>
        <v>0</v>
      </c>
      <c r="B82" t="str">
        <f>IFERROR(VLOOKUP($A82,Products!$A:$G,2,FALSE),"")</f>
        <v/>
      </c>
      <c r="G82">
        <f>Products!I82</f>
        <v>0</v>
      </c>
      <c r="H82">
        <f>SUMIF(Purchases!H:H,A82,Purchases!M:M)</f>
        <v>0</v>
      </c>
      <c r="I82">
        <f>SUMIF(Sales!E:E,A82,Sales!G:G)</f>
        <v>0</v>
      </c>
      <c r="J82">
        <f>G82+H82-I82</f>
        <v>0</v>
      </c>
      <c r="K82" t="str">
        <f>IF(J82&lt;=Products!J82,"LOW STOCK","OK")</f>
        <v>LOW STOCK</v>
      </c>
    </row>
    <row r="83" spans="1:11" x14ac:dyDescent="0.25">
      <c r="A83">
        <f>Products!A83</f>
        <v>0</v>
      </c>
      <c r="B83" t="str">
        <f>IFERROR(VLOOKUP($A83,Products!$A:$G,2,FALSE),"")</f>
        <v/>
      </c>
      <c r="G83">
        <f>Products!I83</f>
        <v>0</v>
      </c>
      <c r="H83">
        <f>SUMIF(Purchases!H:H,A83,Purchases!M:M)</f>
        <v>0</v>
      </c>
      <c r="I83">
        <f>SUMIF(Sales!E:E,A83,Sales!G:G)</f>
        <v>0</v>
      </c>
      <c r="J83">
        <f>G83+H83-I83</f>
        <v>0</v>
      </c>
      <c r="K83" t="str">
        <f>IF(J83&lt;=Products!J83,"LOW STOCK","OK")</f>
        <v>LOW STOCK</v>
      </c>
    </row>
    <row r="84" spans="1:11" x14ac:dyDescent="0.25">
      <c r="A84">
        <f>Products!A84</f>
        <v>0</v>
      </c>
      <c r="B84" t="str">
        <f>IFERROR(VLOOKUP($A84,Products!$A:$G,2,FALSE),"")</f>
        <v/>
      </c>
      <c r="G84">
        <f>Products!I84</f>
        <v>0</v>
      </c>
      <c r="H84">
        <f>SUMIF(Purchases!H:H,A84,Purchases!M:M)</f>
        <v>0</v>
      </c>
      <c r="I84">
        <f>SUMIF(Sales!E:E,A84,Sales!G:G)</f>
        <v>0</v>
      </c>
      <c r="J84">
        <f>G84+H84-I84</f>
        <v>0</v>
      </c>
      <c r="K84" t="str">
        <f>IF(J84&lt;=Products!J84,"LOW STOCK","OK")</f>
        <v>LOW STOCK</v>
      </c>
    </row>
    <row r="85" spans="1:11" x14ac:dyDescent="0.25">
      <c r="A85">
        <f>Products!A85</f>
        <v>0</v>
      </c>
      <c r="B85" t="str">
        <f>IFERROR(VLOOKUP($A85,Products!$A:$G,2,FALSE),"")</f>
        <v/>
      </c>
      <c r="G85">
        <f>Products!I85</f>
        <v>0</v>
      </c>
      <c r="H85">
        <f>SUMIF(Purchases!H:H,A85,Purchases!M:M)</f>
        <v>0</v>
      </c>
      <c r="I85">
        <f>SUMIF(Sales!E:E,A85,Sales!G:G)</f>
        <v>0</v>
      </c>
      <c r="J85">
        <f>G85+H85-I85</f>
        <v>0</v>
      </c>
      <c r="K85" t="str">
        <f>IF(J85&lt;=Products!J85,"LOW STOCK","OK")</f>
        <v>LOW STOCK</v>
      </c>
    </row>
    <row r="86" spans="1:11" x14ac:dyDescent="0.25">
      <c r="A86">
        <f>Products!A86</f>
        <v>0</v>
      </c>
      <c r="B86" t="str">
        <f>IFERROR(VLOOKUP($A86,Products!$A:$G,2,FALSE),"")</f>
        <v/>
      </c>
      <c r="G86">
        <f>Products!I86</f>
        <v>0</v>
      </c>
      <c r="H86">
        <f>SUMIF(Purchases!H:H,A86,Purchases!M:M)</f>
        <v>0</v>
      </c>
      <c r="I86">
        <f>SUMIF(Sales!E:E,A86,Sales!G:G)</f>
        <v>0</v>
      </c>
      <c r="J86">
        <f>G86+H86-I86</f>
        <v>0</v>
      </c>
      <c r="K86" t="str">
        <f>IF(J86&lt;=Products!J86,"LOW STOCK","OK")</f>
        <v>LOW STOCK</v>
      </c>
    </row>
    <row r="87" spans="1:11" x14ac:dyDescent="0.25">
      <c r="A87">
        <f>Products!A87</f>
        <v>0</v>
      </c>
      <c r="B87" t="str">
        <f>IFERROR(VLOOKUP($A87,Products!$A:$G,2,FALSE),"")</f>
        <v/>
      </c>
      <c r="G87">
        <f>Products!I87</f>
        <v>0</v>
      </c>
      <c r="H87">
        <f>SUMIF(Purchases!H:H,A87,Purchases!M:M)</f>
        <v>0</v>
      </c>
      <c r="I87">
        <f>SUMIF(Sales!E:E,A87,Sales!G:G)</f>
        <v>0</v>
      </c>
      <c r="J87">
        <f>G87+H87-I87</f>
        <v>0</v>
      </c>
      <c r="K87" t="str">
        <f>IF(J87&lt;=Products!J87,"LOW STOCK","OK")</f>
        <v>LOW STOCK</v>
      </c>
    </row>
    <row r="88" spans="1:11" x14ac:dyDescent="0.25">
      <c r="A88">
        <f>Products!A88</f>
        <v>0</v>
      </c>
      <c r="B88" t="str">
        <f>IFERROR(VLOOKUP($A88,Products!$A:$G,2,FALSE),"")</f>
        <v/>
      </c>
      <c r="G88">
        <f>Products!I88</f>
        <v>0</v>
      </c>
      <c r="H88">
        <f>SUMIF(Purchases!H:H,A88,Purchases!M:M)</f>
        <v>0</v>
      </c>
      <c r="I88">
        <f>SUMIF(Sales!E:E,A88,Sales!G:G)</f>
        <v>0</v>
      </c>
      <c r="J88">
        <f>G88+H88-I88</f>
        <v>0</v>
      </c>
      <c r="K88" t="str">
        <f>IF(J88&lt;=Products!J88,"LOW STOCK","OK")</f>
        <v>LOW STOCK</v>
      </c>
    </row>
    <row r="89" spans="1:11" x14ac:dyDescent="0.25">
      <c r="A89">
        <f>Products!A89</f>
        <v>0</v>
      </c>
      <c r="B89" t="str">
        <f>IFERROR(VLOOKUP($A89,Products!$A:$G,2,FALSE),"")</f>
        <v/>
      </c>
      <c r="G89">
        <f>Products!I89</f>
        <v>0</v>
      </c>
      <c r="H89">
        <f>SUMIF(Purchases!H:H,A89,Purchases!M:M)</f>
        <v>0</v>
      </c>
      <c r="I89">
        <f>SUMIF(Sales!E:E,A89,Sales!G:G)</f>
        <v>0</v>
      </c>
      <c r="J89">
        <f>G89+H89-I89</f>
        <v>0</v>
      </c>
      <c r="K89" t="str">
        <f>IF(J89&lt;=Products!J89,"LOW STOCK","OK")</f>
        <v>LOW STOCK</v>
      </c>
    </row>
    <row r="90" spans="1:11" x14ac:dyDescent="0.25">
      <c r="A90">
        <f>Products!A90</f>
        <v>0</v>
      </c>
      <c r="B90" t="str">
        <f>IFERROR(VLOOKUP($A90,Products!$A:$G,2,FALSE),"")</f>
        <v/>
      </c>
      <c r="G90">
        <f>Products!I90</f>
        <v>0</v>
      </c>
      <c r="H90">
        <f>SUMIF(Purchases!H:H,A90,Purchases!M:M)</f>
        <v>0</v>
      </c>
      <c r="I90">
        <f>SUMIF(Sales!E:E,A90,Sales!G:G)</f>
        <v>0</v>
      </c>
      <c r="J90">
        <f>G90+H90-I90</f>
        <v>0</v>
      </c>
      <c r="K90" t="str">
        <f>IF(J90&lt;=Products!J90,"LOW STOCK","OK")</f>
        <v>LOW STOCK</v>
      </c>
    </row>
    <row r="91" spans="1:11" x14ac:dyDescent="0.25">
      <c r="A91">
        <f>Products!A91</f>
        <v>0</v>
      </c>
      <c r="B91" t="str">
        <f>IFERROR(VLOOKUP($A91,Products!$A:$G,2,FALSE),"")</f>
        <v/>
      </c>
      <c r="G91">
        <f>Products!I91</f>
        <v>0</v>
      </c>
      <c r="H91">
        <f>SUMIF(Purchases!H:H,A91,Purchases!M:M)</f>
        <v>0</v>
      </c>
      <c r="I91">
        <f>SUMIF(Sales!E:E,A91,Sales!G:G)</f>
        <v>0</v>
      </c>
      <c r="J91">
        <f>G91+H91-I91</f>
        <v>0</v>
      </c>
      <c r="K91" t="str">
        <f>IF(J91&lt;=Products!J91,"LOW STOCK","OK")</f>
        <v>LOW STOCK</v>
      </c>
    </row>
    <row r="92" spans="1:11" x14ac:dyDescent="0.25">
      <c r="A92">
        <f>Products!A92</f>
        <v>0</v>
      </c>
      <c r="B92" t="str">
        <f>IFERROR(VLOOKUP($A92,Products!$A:$G,2,FALSE),"")</f>
        <v/>
      </c>
      <c r="G92">
        <f>Products!I92</f>
        <v>0</v>
      </c>
      <c r="H92">
        <f>SUMIF(Purchases!H:H,A92,Purchases!M:M)</f>
        <v>0</v>
      </c>
      <c r="I92">
        <f>SUMIF(Sales!E:E,A92,Sales!G:G)</f>
        <v>0</v>
      </c>
      <c r="J92">
        <f>G92+H92-I92</f>
        <v>0</v>
      </c>
      <c r="K92" t="str">
        <f>IF(J92&lt;=Products!J92,"LOW STOCK","OK")</f>
        <v>LOW STOCK</v>
      </c>
    </row>
    <row r="93" spans="1:11" x14ac:dyDescent="0.25">
      <c r="A93">
        <f>Products!A93</f>
        <v>0</v>
      </c>
      <c r="B93" t="str">
        <f>IFERROR(VLOOKUP($A93,Products!$A:$G,2,FALSE),"")</f>
        <v/>
      </c>
      <c r="G93">
        <f>Products!I93</f>
        <v>0</v>
      </c>
      <c r="H93">
        <f>SUMIF(Purchases!H:H,A93,Purchases!M:M)</f>
        <v>0</v>
      </c>
      <c r="I93">
        <f>SUMIF(Sales!E:E,A93,Sales!G:G)</f>
        <v>0</v>
      </c>
      <c r="J93">
        <f>G93+H93-I93</f>
        <v>0</v>
      </c>
      <c r="K93" t="str">
        <f>IF(J93&lt;=Products!J93,"LOW STOCK","OK")</f>
        <v>LOW STOCK</v>
      </c>
    </row>
    <row r="94" spans="1:11" x14ac:dyDescent="0.25">
      <c r="A94">
        <f>Products!A94</f>
        <v>0</v>
      </c>
      <c r="B94" t="str">
        <f>IFERROR(VLOOKUP($A94,Products!$A:$G,2,FALSE),"")</f>
        <v/>
      </c>
      <c r="G94">
        <f>Products!I94</f>
        <v>0</v>
      </c>
      <c r="H94">
        <f>SUMIF(Purchases!H:H,A94,Purchases!M:M)</f>
        <v>0</v>
      </c>
      <c r="I94">
        <f>SUMIF(Sales!E:E,A94,Sales!G:G)</f>
        <v>0</v>
      </c>
      <c r="J94">
        <f>G94+H94-I94</f>
        <v>0</v>
      </c>
      <c r="K94" t="str">
        <f>IF(J94&lt;=Products!J94,"LOW STOCK","OK")</f>
        <v>LOW STOCK</v>
      </c>
    </row>
    <row r="95" spans="1:11" x14ac:dyDescent="0.25">
      <c r="A95">
        <f>Products!A95</f>
        <v>0</v>
      </c>
      <c r="B95" t="str">
        <f>IFERROR(VLOOKUP($A95,Products!$A:$G,2,FALSE),"")</f>
        <v/>
      </c>
      <c r="G95">
        <f>Products!I95</f>
        <v>0</v>
      </c>
      <c r="H95">
        <f>SUMIF(Purchases!H:H,A95,Purchases!M:M)</f>
        <v>0</v>
      </c>
      <c r="I95">
        <f>SUMIF(Sales!E:E,A95,Sales!G:G)</f>
        <v>0</v>
      </c>
      <c r="J95">
        <f>G95+H95-I95</f>
        <v>0</v>
      </c>
      <c r="K95" t="str">
        <f>IF(J95&lt;=Products!J95,"LOW STOCK","OK")</f>
        <v>LOW STOCK</v>
      </c>
    </row>
    <row r="96" spans="1:11" x14ac:dyDescent="0.25">
      <c r="A96">
        <f>Products!A96</f>
        <v>0</v>
      </c>
      <c r="B96" t="str">
        <f>IFERROR(VLOOKUP($A96,Products!$A:$G,2,FALSE),"")</f>
        <v/>
      </c>
      <c r="G96">
        <f>Products!I96</f>
        <v>0</v>
      </c>
      <c r="H96">
        <f>SUMIF(Purchases!H:H,A96,Purchases!M:M)</f>
        <v>0</v>
      </c>
      <c r="I96">
        <f>SUMIF(Sales!E:E,A96,Sales!G:G)</f>
        <v>0</v>
      </c>
      <c r="J96">
        <f>G96+H96-I96</f>
        <v>0</v>
      </c>
      <c r="K96" t="str">
        <f>IF(J96&lt;=Products!J96,"LOW STOCK","OK")</f>
        <v>LOW STOCK</v>
      </c>
    </row>
    <row r="97" spans="1:11" x14ac:dyDescent="0.25">
      <c r="A97">
        <f>Products!A97</f>
        <v>0</v>
      </c>
      <c r="B97" t="str">
        <f>IFERROR(VLOOKUP($A97,Products!$A:$G,2,FALSE),"")</f>
        <v/>
      </c>
      <c r="G97">
        <f>Products!I97</f>
        <v>0</v>
      </c>
      <c r="H97">
        <f>SUMIF(Purchases!H:H,A97,Purchases!M:M)</f>
        <v>0</v>
      </c>
      <c r="I97">
        <f>SUMIF(Sales!E:E,A97,Sales!G:G)</f>
        <v>0</v>
      </c>
      <c r="J97">
        <f>G97+H97-I97</f>
        <v>0</v>
      </c>
      <c r="K97" t="str">
        <f>IF(J97&lt;=Products!J97,"LOW STOCK","OK")</f>
        <v>LOW STOCK</v>
      </c>
    </row>
    <row r="98" spans="1:11" x14ac:dyDescent="0.25">
      <c r="A98">
        <f>Products!A98</f>
        <v>0</v>
      </c>
      <c r="B98" t="str">
        <f>IFERROR(VLOOKUP($A98,Products!$A:$G,2,FALSE),"")</f>
        <v/>
      </c>
      <c r="G98">
        <f>Products!I98</f>
        <v>0</v>
      </c>
      <c r="H98">
        <f>SUMIF(Purchases!H:H,A98,Purchases!M:M)</f>
        <v>0</v>
      </c>
      <c r="I98">
        <f>SUMIF(Sales!E:E,A98,Sales!G:G)</f>
        <v>0</v>
      </c>
      <c r="J98">
        <f>G98+H98-I98</f>
        <v>0</v>
      </c>
      <c r="K98" t="str">
        <f>IF(J98&lt;=Products!J98,"LOW STOCK","OK")</f>
        <v>LOW STOCK</v>
      </c>
    </row>
    <row r="99" spans="1:11" x14ac:dyDescent="0.25">
      <c r="A99">
        <f>Products!A99</f>
        <v>0</v>
      </c>
      <c r="B99" t="str">
        <f>IFERROR(VLOOKUP($A99,Products!$A:$G,2,FALSE),"")</f>
        <v/>
      </c>
      <c r="G99">
        <f>Products!I99</f>
        <v>0</v>
      </c>
      <c r="H99">
        <f>SUMIF(Purchases!H:H,A99,Purchases!M:M)</f>
        <v>0</v>
      </c>
      <c r="I99">
        <f>SUMIF(Sales!E:E,A99,Sales!G:G)</f>
        <v>0</v>
      </c>
      <c r="J99">
        <f>G99+H99-I99</f>
        <v>0</v>
      </c>
      <c r="K99" t="str">
        <f>IF(J99&lt;=Products!J99,"LOW STOCK","OK")</f>
        <v>LOW STOCK</v>
      </c>
    </row>
    <row r="100" spans="1:11" x14ac:dyDescent="0.25">
      <c r="A100">
        <f>Products!A100</f>
        <v>0</v>
      </c>
      <c r="B100" t="str">
        <f>IFERROR(VLOOKUP($A100,Products!$A:$G,2,FALSE),"")</f>
        <v/>
      </c>
      <c r="G100">
        <f>Products!I100</f>
        <v>0</v>
      </c>
      <c r="H100">
        <f>SUMIF(Purchases!H:H,A100,Purchases!M:M)</f>
        <v>0</v>
      </c>
      <c r="I100">
        <f>SUMIF(Sales!E:E,A100,Sales!G:G)</f>
        <v>0</v>
      </c>
      <c r="J100">
        <f>G100+H100-I100</f>
        <v>0</v>
      </c>
      <c r="K100" t="str">
        <f>IF(J100&lt;=Products!J100,"LOW STOCK","OK")</f>
        <v>LOW STOCK</v>
      </c>
    </row>
    <row r="101" spans="1:11" x14ac:dyDescent="0.25">
      <c r="A101">
        <f>Products!A101</f>
        <v>0</v>
      </c>
      <c r="B101" t="str">
        <f>IFERROR(VLOOKUP($A101,Products!$A:$G,2,FALSE),"")</f>
        <v/>
      </c>
      <c r="G101">
        <f>Products!I101</f>
        <v>0</v>
      </c>
      <c r="H101">
        <f>SUMIF(Purchases!H:H,A101,Purchases!M:M)</f>
        <v>0</v>
      </c>
      <c r="I101">
        <f>SUMIF(Sales!E:E,A101,Sales!G:G)</f>
        <v>0</v>
      </c>
      <c r="J101">
        <f>G101+H101-I101</f>
        <v>0</v>
      </c>
      <c r="K101" t="str">
        <f>IF(J101&lt;=Products!J101,"LOW STOCK","OK")</f>
        <v>LOW STOCK</v>
      </c>
    </row>
    <row r="102" spans="1:11" x14ac:dyDescent="0.25">
      <c r="A102">
        <f>Products!A102</f>
        <v>0</v>
      </c>
      <c r="B102" t="str">
        <f>IFERROR(VLOOKUP($A102,Products!$A:$G,2,FALSE),"")</f>
        <v/>
      </c>
      <c r="G102">
        <f>Products!I102</f>
        <v>0</v>
      </c>
      <c r="H102">
        <f>SUMIF(Purchases!H:H,A102,Purchases!M:M)</f>
        <v>0</v>
      </c>
      <c r="I102">
        <f>SUMIF(Sales!E:E,A102,Sales!G:G)</f>
        <v>0</v>
      </c>
      <c r="J102">
        <f>G102+H102-I102</f>
        <v>0</v>
      </c>
      <c r="K102" t="str">
        <f>IF(J102&lt;=Products!J102,"LOW STOCK","OK")</f>
        <v>LOW STOCK</v>
      </c>
    </row>
    <row r="103" spans="1:11" x14ac:dyDescent="0.25">
      <c r="A103">
        <f>Products!A103</f>
        <v>0</v>
      </c>
      <c r="B103" t="str">
        <f>IFERROR(VLOOKUP($A103,Products!$A:$G,2,FALSE),"")</f>
        <v/>
      </c>
      <c r="G103">
        <f>Products!I103</f>
        <v>0</v>
      </c>
      <c r="H103">
        <f>SUMIF(Purchases!H:H,A103,Purchases!M:M)</f>
        <v>0</v>
      </c>
      <c r="I103">
        <f>SUMIF(Sales!E:E,A103,Sales!G:G)</f>
        <v>0</v>
      </c>
      <c r="J103">
        <f>G103+H103-I103</f>
        <v>0</v>
      </c>
      <c r="K103" t="str">
        <f>IF(J103&lt;=Products!J103,"LOW STOCK","OK")</f>
        <v>LOW STOCK</v>
      </c>
    </row>
    <row r="104" spans="1:11" x14ac:dyDescent="0.25">
      <c r="A104">
        <f>Products!A104</f>
        <v>0</v>
      </c>
      <c r="B104" t="str">
        <f>IFERROR(VLOOKUP($A104,Products!$A:$G,2,FALSE),"")</f>
        <v/>
      </c>
      <c r="G104">
        <f>Products!I104</f>
        <v>0</v>
      </c>
      <c r="H104">
        <f>SUMIF(Purchases!H:H,A104,Purchases!M:M)</f>
        <v>0</v>
      </c>
      <c r="I104">
        <f>SUMIF(Sales!E:E,A104,Sales!G:G)</f>
        <v>0</v>
      </c>
      <c r="J104">
        <f>G104+H104-I104</f>
        <v>0</v>
      </c>
      <c r="K104" t="str">
        <f>IF(J104&lt;=Products!J104,"LOW STOCK","OK")</f>
        <v>LOW STOCK</v>
      </c>
    </row>
    <row r="105" spans="1:11" x14ac:dyDescent="0.25">
      <c r="A105">
        <f>Products!A105</f>
        <v>0</v>
      </c>
      <c r="B105" t="str">
        <f>IFERROR(VLOOKUP($A105,Products!$A:$G,2,FALSE),"")</f>
        <v/>
      </c>
      <c r="G105">
        <f>Products!I105</f>
        <v>0</v>
      </c>
      <c r="H105">
        <f>SUMIF(Purchases!H:H,A105,Purchases!M:M)</f>
        <v>0</v>
      </c>
      <c r="I105">
        <f>SUMIF(Sales!E:E,A105,Sales!G:G)</f>
        <v>0</v>
      </c>
      <c r="J105">
        <f>G105+H105-I105</f>
        <v>0</v>
      </c>
      <c r="K105" t="str">
        <f>IF(J105&lt;=Products!J105,"LOW STOCK","OK")</f>
        <v>LOW STOCK</v>
      </c>
    </row>
    <row r="106" spans="1:11" x14ac:dyDescent="0.25">
      <c r="A106">
        <f>Products!A106</f>
        <v>0</v>
      </c>
      <c r="B106" t="str">
        <f>IFERROR(VLOOKUP($A106,Products!$A:$G,2,FALSE),"")</f>
        <v/>
      </c>
      <c r="G106">
        <f>Products!I106</f>
        <v>0</v>
      </c>
      <c r="H106">
        <f>SUMIF(Purchases!H:H,A106,Purchases!M:M)</f>
        <v>0</v>
      </c>
      <c r="I106">
        <f>SUMIF(Sales!E:E,A106,Sales!G:G)</f>
        <v>0</v>
      </c>
      <c r="J106">
        <f>G106+H106-I106</f>
        <v>0</v>
      </c>
      <c r="K106" t="str">
        <f>IF(J106&lt;=Products!J106,"LOW STOCK","OK")</f>
        <v>LOW STOCK</v>
      </c>
    </row>
    <row r="107" spans="1:11" x14ac:dyDescent="0.25">
      <c r="A107">
        <f>Products!A107</f>
        <v>0</v>
      </c>
      <c r="B107" t="str">
        <f>IFERROR(VLOOKUP($A107,Products!$A:$G,2,FALSE),"")</f>
        <v/>
      </c>
      <c r="G107">
        <f>Products!I107</f>
        <v>0</v>
      </c>
      <c r="H107">
        <f>SUMIF(Purchases!H:H,A107,Purchases!M:M)</f>
        <v>0</v>
      </c>
      <c r="I107">
        <f>SUMIF(Sales!E:E,A107,Sales!G:G)</f>
        <v>0</v>
      </c>
      <c r="J107">
        <f>G107+H107-I107</f>
        <v>0</v>
      </c>
      <c r="K107" t="str">
        <f>IF(J107&lt;=Products!J107,"LOW STOCK","OK")</f>
        <v>LOW STOCK</v>
      </c>
    </row>
    <row r="108" spans="1:11" x14ac:dyDescent="0.25">
      <c r="A108">
        <f>Products!A108</f>
        <v>0</v>
      </c>
      <c r="B108" t="str">
        <f>IFERROR(VLOOKUP($A108,Products!$A:$G,2,FALSE),"")</f>
        <v/>
      </c>
      <c r="G108">
        <f>Products!I108</f>
        <v>0</v>
      </c>
      <c r="H108">
        <f>SUMIF(Purchases!H:H,A108,Purchases!M:M)</f>
        <v>0</v>
      </c>
      <c r="I108">
        <f>SUMIF(Sales!E:E,A108,Sales!G:G)</f>
        <v>0</v>
      </c>
      <c r="J108">
        <f>G108+H108-I108</f>
        <v>0</v>
      </c>
      <c r="K108" t="str">
        <f>IF(J108&lt;=Products!J108,"LOW STOCK","OK")</f>
        <v>LOW STOCK</v>
      </c>
    </row>
    <row r="109" spans="1:11" x14ac:dyDescent="0.25">
      <c r="A109">
        <f>Products!A109</f>
        <v>0</v>
      </c>
      <c r="B109" t="str">
        <f>IFERROR(VLOOKUP($A109,Products!$A:$G,2,FALSE),"")</f>
        <v/>
      </c>
      <c r="G109">
        <f>Products!I109</f>
        <v>0</v>
      </c>
      <c r="H109">
        <f>SUMIF(Purchases!H:H,A109,Purchases!M:M)</f>
        <v>0</v>
      </c>
      <c r="I109">
        <f>SUMIF(Sales!E:E,A109,Sales!G:G)</f>
        <v>0</v>
      </c>
      <c r="J109">
        <f>G109+H109-I109</f>
        <v>0</v>
      </c>
      <c r="K109" t="str">
        <f>IF(J109&lt;=Products!J109,"LOW STOCK","OK")</f>
        <v>LOW STOCK</v>
      </c>
    </row>
    <row r="110" spans="1:11" x14ac:dyDescent="0.25">
      <c r="A110">
        <f>Products!A110</f>
        <v>0</v>
      </c>
      <c r="B110" t="str">
        <f>IFERROR(VLOOKUP($A110,Products!$A:$G,2,FALSE),"")</f>
        <v/>
      </c>
      <c r="G110">
        <f>Products!I110</f>
        <v>0</v>
      </c>
      <c r="H110">
        <f>SUMIF(Purchases!H:H,A110,Purchases!M:M)</f>
        <v>0</v>
      </c>
      <c r="I110">
        <f>SUMIF(Sales!E:E,A110,Sales!G:G)</f>
        <v>0</v>
      </c>
      <c r="J110">
        <f>G110+H110-I110</f>
        <v>0</v>
      </c>
      <c r="K110" t="str">
        <f>IF(J110&lt;=Products!J110,"LOW STOCK","OK")</f>
        <v>LOW STOCK</v>
      </c>
    </row>
    <row r="111" spans="1:11" x14ac:dyDescent="0.25">
      <c r="A111">
        <f>Products!A111</f>
        <v>0</v>
      </c>
      <c r="B111" t="str">
        <f>IFERROR(VLOOKUP($A111,Products!$A:$G,2,FALSE),"")</f>
        <v/>
      </c>
      <c r="G111">
        <f>Products!I111</f>
        <v>0</v>
      </c>
      <c r="H111">
        <f>SUMIF(Purchases!H:H,A111,Purchases!M:M)</f>
        <v>0</v>
      </c>
      <c r="I111">
        <f>SUMIF(Sales!E:E,A111,Sales!G:G)</f>
        <v>0</v>
      </c>
      <c r="J111">
        <f>G111+H111-I111</f>
        <v>0</v>
      </c>
      <c r="K111" t="str">
        <f>IF(J111&lt;=Products!J111,"LOW STOCK","OK")</f>
        <v>LOW STOCK</v>
      </c>
    </row>
    <row r="112" spans="1:11" x14ac:dyDescent="0.25">
      <c r="A112">
        <f>Products!A112</f>
        <v>0</v>
      </c>
      <c r="B112" t="str">
        <f>IFERROR(VLOOKUP($A112,Products!$A:$G,2,FALSE),"")</f>
        <v/>
      </c>
      <c r="G112">
        <f>Products!I112</f>
        <v>0</v>
      </c>
      <c r="H112">
        <f>SUMIF(Purchases!H:H,A112,Purchases!M:M)</f>
        <v>0</v>
      </c>
      <c r="I112">
        <f>SUMIF(Sales!E:E,A112,Sales!G:G)</f>
        <v>0</v>
      </c>
      <c r="J112">
        <f>G112+H112-I112</f>
        <v>0</v>
      </c>
      <c r="K112" t="str">
        <f>IF(J112&lt;=Products!J112,"LOW STOCK","OK")</f>
        <v>LOW STOCK</v>
      </c>
    </row>
    <row r="113" spans="1:11" x14ac:dyDescent="0.25">
      <c r="A113">
        <f>Products!A113</f>
        <v>0</v>
      </c>
      <c r="B113" t="str">
        <f>IFERROR(VLOOKUP($A113,Products!$A:$G,2,FALSE),"")</f>
        <v/>
      </c>
      <c r="G113">
        <f>Products!I113</f>
        <v>0</v>
      </c>
      <c r="H113">
        <f>SUMIF(Purchases!H:H,A113,Purchases!M:M)</f>
        <v>0</v>
      </c>
      <c r="I113">
        <f>SUMIF(Sales!E:E,A113,Sales!G:G)</f>
        <v>0</v>
      </c>
      <c r="J113">
        <f>G113+H113-I113</f>
        <v>0</v>
      </c>
      <c r="K113" t="str">
        <f>IF(J113&lt;=Products!J113,"LOW STOCK","OK")</f>
        <v>LOW STOCK</v>
      </c>
    </row>
    <row r="114" spans="1:11" x14ac:dyDescent="0.25">
      <c r="A114">
        <f>Products!A114</f>
        <v>0</v>
      </c>
      <c r="B114" t="str">
        <f>IFERROR(VLOOKUP($A114,Products!$A:$G,2,FALSE),"")</f>
        <v/>
      </c>
      <c r="G114">
        <f>Products!I114</f>
        <v>0</v>
      </c>
      <c r="H114">
        <f>SUMIF(Purchases!H:H,A114,Purchases!M:M)</f>
        <v>0</v>
      </c>
      <c r="I114">
        <f>SUMIF(Sales!E:E,A114,Sales!G:G)</f>
        <v>0</v>
      </c>
      <c r="J114">
        <f>G114+H114-I114</f>
        <v>0</v>
      </c>
      <c r="K114" t="str">
        <f>IF(J114&lt;=Products!J114,"LOW STOCK","OK")</f>
        <v>LOW STOCK</v>
      </c>
    </row>
    <row r="115" spans="1:11" x14ac:dyDescent="0.25">
      <c r="A115">
        <f>Products!A115</f>
        <v>0</v>
      </c>
      <c r="B115" t="str">
        <f>IFERROR(VLOOKUP($A115,Products!$A:$G,2,FALSE),"")</f>
        <v/>
      </c>
      <c r="G115">
        <f>Products!I115</f>
        <v>0</v>
      </c>
      <c r="H115">
        <f>SUMIF(Purchases!H:H,A115,Purchases!M:M)</f>
        <v>0</v>
      </c>
      <c r="I115">
        <f>SUMIF(Sales!E:E,A115,Sales!G:G)</f>
        <v>0</v>
      </c>
      <c r="J115">
        <f>G115+H115-I115</f>
        <v>0</v>
      </c>
      <c r="K115" t="str">
        <f>IF(J115&lt;=Products!J115,"LOW STOCK","OK")</f>
        <v>LOW STOCK</v>
      </c>
    </row>
    <row r="116" spans="1:11" x14ac:dyDescent="0.25">
      <c r="A116">
        <f>Products!A116</f>
        <v>0</v>
      </c>
      <c r="B116" t="str">
        <f>IFERROR(VLOOKUP($A116,Products!$A:$G,2,FALSE),"")</f>
        <v/>
      </c>
      <c r="G116">
        <f>Products!I116</f>
        <v>0</v>
      </c>
      <c r="H116">
        <f>SUMIF(Purchases!H:H,A116,Purchases!M:M)</f>
        <v>0</v>
      </c>
      <c r="I116">
        <f>SUMIF(Sales!E:E,A116,Sales!G:G)</f>
        <v>0</v>
      </c>
      <c r="J116">
        <f>G116+H116-I116</f>
        <v>0</v>
      </c>
      <c r="K116" t="str">
        <f>IF(J116&lt;=Products!J116,"LOW STOCK","OK")</f>
        <v>LOW STOCK</v>
      </c>
    </row>
    <row r="117" spans="1:11" x14ac:dyDescent="0.25">
      <c r="A117">
        <f>Products!A117</f>
        <v>0</v>
      </c>
      <c r="B117" t="str">
        <f>IFERROR(VLOOKUP($A117,Products!$A:$G,2,FALSE),"")</f>
        <v/>
      </c>
      <c r="G117">
        <f>Products!I117</f>
        <v>0</v>
      </c>
      <c r="H117">
        <f>SUMIF(Purchases!H:H,A117,Purchases!M:M)</f>
        <v>0</v>
      </c>
      <c r="I117">
        <f>SUMIF(Sales!E:E,A117,Sales!G:G)</f>
        <v>0</v>
      </c>
      <c r="J117">
        <f>G117+H117-I117</f>
        <v>0</v>
      </c>
      <c r="K117" t="str">
        <f>IF(J117&lt;=Products!J117,"LOW STOCK","OK")</f>
        <v>LOW STOCK</v>
      </c>
    </row>
    <row r="118" spans="1:11" x14ac:dyDescent="0.25">
      <c r="A118">
        <f>Products!A118</f>
        <v>0</v>
      </c>
      <c r="B118" t="str">
        <f>IFERROR(VLOOKUP($A118,Products!$A:$G,2,FALSE),"")</f>
        <v/>
      </c>
      <c r="G118">
        <f>Products!I118</f>
        <v>0</v>
      </c>
      <c r="H118">
        <f>SUMIF(Purchases!H:H,A118,Purchases!M:M)</f>
        <v>0</v>
      </c>
      <c r="I118">
        <f>SUMIF(Sales!E:E,A118,Sales!G:G)</f>
        <v>0</v>
      </c>
      <c r="J118">
        <f>G118+H118-I118</f>
        <v>0</v>
      </c>
      <c r="K118" t="str">
        <f>IF(J118&lt;=Products!J118,"LOW STOCK","OK")</f>
        <v>LOW STOCK</v>
      </c>
    </row>
    <row r="119" spans="1:11" x14ac:dyDescent="0.25">
      <c r="A119">
        <f>Products!A119</f>
        <v>0</v>
      </c>
      <c r="B119" t="str">
        <f>IFERROR(VLOOKUP($A119,Products!$A:$G,2,FALSE),"")</f>
        <v/>
      </c>
      <c r="G119">
        <f>Products!I119</f>
        <v>0</v>
      </c>
      <c r="H119">
        <f>SUMIF(Purchases!H:H,A119,Purchases!M:M)</f>
        <v>0</v>
      </c>
      <c r="I119">
        <f>SUMIF(Sales!E:E,A119,Sales!G:G)</f>
        <v>0</v>
      </c>
      <c r="J119">
        <f>G119+H119-I119</f>
        <v>0</v>
      </c>
      <c r="K119" t="str">
        <f>IF(J119&lt;=Products!J119,"LOW STOCK","OK")</f>
        <v>LOW STOCK</v>
      </c>
    </row>
    <row r="120" spans="1:11" x14ac:dyDescent="0.25">
      <c r="A120">
        <f>Products!A120</f>
        <v>0</v>
      </c>
      <c r="B120" t="str">
        <f>IFERROR(VLOOKUP($A120,Products!$A:$G,2,FALSE),"")</f>
        <v/>
      </c>
      <c r="G120">
        <f>Products!I120</f>
        <v>0</v>
      </c>
      <c r="H120">
        <f>SUMIF(Purchases!H:H,A120,Purchases!M:M)</f>
        <v>0</v>
      </c>
      <c r="I120">
        <f>SUMIF(Sales!E:E,A120,Sales!G:G)</f>
        <v>0</v>
      </c>
      <c r="J120">
        <f>G120+H120-I120</f>
        <v>0</v>
      </c>
      <c r="K120" t="str">
        <f>IF(J120&lt;=Products!J120,"LOW STOCK","OK")</f>
        <v>LOW STOCK</v>
      </c>
    </row>
    <row r="121" spans="1:11" x14ac:dyDescent="0.25">
      <c r="A121">
        <f>Products!A121</f>
        <v>0</v>
      </c>
      <c r="B121" t="str">
        <f>IFERROR(VLOOKUP($A121,Products!$A:$G,2,FALSE),"")</f>
        <v/>
      </c>
      <c r="G121">
        <f>Products!I121</f>
        <v>0</v>
      </c>
      <c r="H121">
        <f>SUMIF(Purchases!H:H,A121,Purchases!M:M)</f>
        <v>0</v>
      </c>
      <c r="I121">
        <f>SUMIF(Sales!E:E,A121,Sales!G:G)</f>
        <v>0</v>
      </c>
      <c r="J121">
        <f>G121+H121-I121</f>
        <v>0</v>
      </c>
      <c r="K121" t="str">
        <f>IF(J121&lt;=Products!J121,"LOW STOCK","OK")</f>
        <v>LOW STOCK</v>
      </c>
    </row>
    <row r="122" spans="1:11" x14ac:dyDescent="0.25">
      <c r="A122">
        <f>Products!A122</f>
        <v>0</v>
      </c>
      <c r="B122" t="str">
        <f>IFERROR(VLOOKUP($A122,Products!$A:$G,2,FALSE),"")</f>
        <v/>
      </c>
      <c r="G122">
        <f>Products!I122</f>
        <v>0</v>
      </c>
      <c r="H122">
        <f>SUMIF(Purchases!H:H,A122,Purchases!M:M)</f>
        <v>0</v>
      </c>
      <c r="I122">
        <f>SUMIF(Sales!E:E,A122,Sales!G:G)</f>
        <v>0</v>
      </c>
      <c r="J122">
        <f>G122+H122-I122</f>
        <v>0</v>
      </c>
      <c r="K122" t="str">
        <f>IF(J122&lt;=Products!J122,"LOW STOCK","OK")</f>
        <v>LOW STOCK</v>
      </c>
    </row>
    <row r="123" spans="1:11" x14ac:dyDescent="0.25">
      <c r="A123">
        <f>Products!A123</f>
        <v>0</v>
      </c>
      <c r="B123" t="str">
        <f>IFERROR(VLOOKUP($A123,Products!$A:$G,2,FALSE),"")</f>
        <v/>
      </c>
      <c r="G123">
        <f>Products!I123</f>
        <v>0</v>
      </c>
      <c r="H123">
        <f>SUMIF(Purchases!H:H,A123,Purchases!M:M)</f>
        <v>0</v>
      </c>
      <c r="I123">
        <f>SUMIF(Sales!E:E,A123,Sales!G:G)</f>
        <v>0</v>
      </c>
      <c r="J123">
        <f>G123+H123-I123</f>
        <v>0</v>
      </c>
      <c r="K123" t="str">
        <f>IF(J123&lt;=Products!J123,"LOW STOCK","OK")</f>
        <v>LOW STOCK</v>
      </c>
    </row>
    <row r="124" spans="1:11" x14ac:dyDescent="0.25">
      <c r="A124">
        <f>Products!A124</f>
        <v>0</v>
      </c>
      <c r="B124" t="str">
        <f>IFERROR(VLOOKUP($A124,Products!$A:$G,2,FALSE),"")</f>
        <v/>
      </c>
      <c r="G124">
        <f>Products!I124</f>
        <v>0</v>
      </c>
      <c r="H124">
        <f>SUMIF(Purchases!H:H,A124,Purchases!M:M)</f>
        <v>0</v>
      </c>
      <c r="I124">
        <f>SUMIF(Sales!E:E,A124,Sales!G:G)</f>
        <v>0</v>
      </c>
      <c r="J124">
        <f>G124+H124-I124</f>
        <v>0</v>
      </c>
      <c r="K124" t="str">
        <f>IF(J124&lt;=Products!J124,"LOW STOCK","OK")</f>
        <v>LOW STOCK</v>
      </c>
    </row>
    <row r="125" spans="1:11" x14ac:dyDescent="0.25">
      <c r="A125">
        <f>Products!A125</f>
        <v>0</v>
      </c>
      <c r="B125" t="str">
        <f>IFERROR(VLOOKUP($A125,Products!$A:$G,2,FALSE),"")</f>
        <v/>
      </c>
      <c r="G125">
        <f>Products!I125</f>
        <v>0</v>
      </c>
      <c r="H125">
        <f>SUMIF(Purchases!H:H,A125,Purchases!M:M)</f>
        <v>0</v>
      </c>
      <c r="I125">
        <f>SUMIF(Sales!E:E,A125,Sales!G:G)</f>
        <v>0</v>
      </c>
      <c r="J125">
        <f>G125+H125-I125</f>
        <v>0</v>
      </c>
      <c r="K125" t="str">
        <f>IF(J125&lt;=Products!J125,"LOW STOCK","OK")</f>
        <v>LOW STOCK</v>
      </c>
    </row>
    <row r="126" spans="1:11" x14ac:dyDescent="0.25">
      <c r="A126">
        <f>Products!A126</f>
        <v>0</v>
      </c>
      <c r="B126" t="str">
        <f>IFERROR(VLOOKUP($A126,Products!$A:$G,2,FALSE),"")</f>
        <v/>
      </c>
      <c r="G126">
        <f>Products!I126</f>
        <v>0</v>
      </c>
      <c r="H126">
        <f>SUMIF(Purchases!H:H,A126,Purchases!M:M)</f>
        <v>0</v>
      </c>
      <c r="I126">
        <f>SUMIF(Sales!E:E,A126,Sales!G:G)</f>
        <v>0</v>
      </c>
      <c r="J126">
        <f>G126+H126-I126</f>
        <v>0</v>
      </c>
      <c r="K126" t="str">
        <f>IF(J126&lt;=Products!J126,"LOW STOCK","OK")</f>
        <v>LOW STOCK</v>
      </c>
    </row>
    <row r="127" spans="1:11" x14ac:dyDescent="0.25">
      <c r="A127">
        <f>Products!A127</f>
        <v>0</v>
      </c>
      <c r="B127" t="str">
        <f>IFERROR(VLOOKUP($A127,Products!$A:$G,2,FALSE),"")</f>
        <v/>
      </c>
      <c r="G127">
        <f>Products!I127</f>
        <v>0</v>
      </c>
      <c r="H127">
        <f>SUMIF(Purchases!H:H,A127,Purchases!M:M)</f>
        <v>0</v>
      </c>
      <c r="I127">
        <f>SUMIF(Sales!E:E,A127,Sales!G:G)</f>
        <v>0</v>
      </c>
      <c r="J127">
        <f>G127+H127-I127</f>
        <v>0</v>
      </c>
      <c r="K127" t="str">
        <f>IF(J127&lt;=Products!J127,"LOW STOCK","OK")</f>
        <v>LOW STOCK</v>
      </c>
    </row>
    <row r="128" spans="1:11" x14ac:dyDescent="0.25">
      <c r="A128">
        <f>Products!A128</f>
        <v>0</v>
      </c>
      <c r="B128" t="str">
        <f>IFERROR(VLOOKUP($A128,Products!$A:$G,2,FALSE),"")</f>
        <v/>
      </c>
      <c r="G128">
        <f>Products!I128</f>
        <v>0</v>
      </c>
      <c r="H128">
        <f>SUMIF(Purchases!H:H,A128,Purchases!M:M)</f>
        <v>0</v>
      </c>
      <c r="I128">
        <f>SUMIF(Sales!E:E,A128,Sales!G:G)</f>
        <v>0</v>
      </c>
      <c r="J128">
        <f>G128+H128-I128</f>
        <v>0</v>
      </c>
      <c r="K128" t="str">
        <f>IF(J128&lt;=Products!J128,"LOW STOCK","OK")</f>
        <v>LOW STOCK</v>
      </c>
    </row>
    <row r="129" spans="1:11" x14ac:dyDescent="0.25">
      <c r="A129">
        <f>Products!A129</f>
        <v>0</v>
      </c>
      <c r="B129" t="str">
        <f>IFERROR(VLOOKUP($A129,Products!$A:$G,2,FALSE),"")</f>
        <v/>
      </c>
      <c r="G129">
        <f>Products!I129</f>
        <v>0</v>
      </c>
      <c r="H129">
        <f>SUMIF(Purchases!H:H,A129,Purchases!M:M)</f>
        <v>0</v>
      </c>
      <c r="I129">
        <f>SUMIF(Sales!E:E,A129,Sales!G:G)</f>
        <v>0</v>
      </c>
      <c r="J129">
        <f>G129+H129-I129</f>
        <v>0</v>
      </c>
      <c r="K129" t="str">
        <f>IF(J129&lt;=Products!J129,"LOW STOCK","OK")</f>
        <v>LOW STOCK</v>
      </c>
    </row>
    <row r="130" spans="1:11" x14ac:dyDescent="0.25">
      <c r="A130">
        <f>Products!A130</f>
        <v>0</v>
      </c>
      <c r="B130" t="str">
        <f>IFERROR(VLOOKUP($A130,Products!$A:$G,2,FALSE),"")</f>
        <v/>
      </c>
      <c r="G130">
        <f>Products!I130</f>
        <v>0</v>
      </c>
      <c r="H130">
        <f>SUMIF(Purchases!H:H,A130,Purchases!M:M)</f>
        <v>0</v>
      </c>
      <c r="I130">
        <f>SUMIF(Sales!E:E,A130,Sales!G:G)</f>
        <v>0</v>
      </c>
      <c r="J130">
        <f>G130+H130-I130</f>
        <v>0</v>
      </c>
      <c r="K130" t="str">
        <f>IF(J130&lt;=Products!J130,"LOW STOCK","OK")</f>
        <v>LOW STOCK</v>
      </c>
    </row>
    <row r="131" spans="1:11" x14ac:dyDescent="0.25">
      <c r="A131">
        <f>Products!A131</f>
        <v>0</v>
      </c>
      <c r="B131" t="str">
        <f>IFERROR(VLOOKUP($A131,Products!$A:$G,2,FALSE),"")</f>
        <v/>
      </c>
      <c r="G131">
        <f>Products!I131</f>
        <v>0</v>
      </c>
      <c r="H131">
        <f>SUMIF(Purchases!H:H,A131,Purchases!M:M)</f>
        <v>0</v>
      </c>
      <c r="I131">
        <f>SUMIF(Sales!E:E,A131,Sales!G:G)</f>
        <v>0</v>
      </c>
      <c r="J131">
        <f>G131+H131-I131</f>
        <v>0</v>
      </c>
      <c r="K131" t="str">
        <f>IF(J131&lt;=Products!J131,"LOW STOCK","OK")</f>
        <v>LOW STOCK</v>
      </c>
    </row>
    <row r="132" spans="1:11" x14ac:dyDescent="0.25">
      <c r="A132">
        <f>Products!A132</f>
        <v>0</v>
      </c>
      <c r="B132" t="str">
        <f>IFERROR(VLOOKUP($A132,Products!$A:$G,2,FALSE),"")</f>
        <v/>
      </c>
      <c r="G132">
        <f>Products!I132</f>
        <v>0</v>
      </c>
      <c r="H132">
        <f>SUMIF(Purchases!H:H,A132,Purchases!M:M)</f>
        <v>0</v>
      </c>
      <c r="I132">
        <f>SUMIF(Sales!E:E,A132,Sales!G:G)</f>
        <v>0</v>
      </c>
      <c r="J132">
        <f>G132+H132-I132</f>
        <v>0</v>
      </c>
      <c r="K132" t="str">
        <f>IF(J132&lt;=Products!J132,"LOW STOCK","OK")</f>
        <v>LOW STOCK</v>
      </c>
    </row>
    <row r="133" spans="1:11" x14ac:dyDescent="0.25">
      <c r="A133">
        <f>Products!A133</f>
        <v>0</v>
      </c>
      <c r="B133" t="str">
        <f>IFERROR(VLOOKUP($A133,Products!$A:$G,2,FALSE),"")</f>
        <v/>
      </c>
      <c r="G133">
        <f>Products!I133</f>
        <v>0</v>
      </c>
      <c r="H133">
        <f>SUMIF(Purchases!H:H,A133,Purchases!M:M)</f>
        <v>0</v>
      </c>
      <c r="I133">
        <f>SUMIF(Sales!E:E,A133,Sales!G:G)</f>
        <v>0</v>
      </c>
      <c r="J133">
        <f>G133+H133-I133</f>
        <v>0</v>
      </c>
      <c r="K133" t="str">
        <f>IF(J133&lt;=Products!J133,"LOW STOCK","OK")</f>
        <v>LOW STOCK</v>
      </c>
    </row>
    <row r="134" spans="1:11" x14ac:dyDescent="0.25">
      <c r="A134">
        <f>Products!A134</f>
        <v>0</v>
      </c>
      <c r="B134" t="str">
        <f>IFERROR(VLOOKUP($A134,Products!$A:$G,2,FALSE),"")</f>
        <v/>
      </c>
      <c r="G134">
        <f>Products!I134</f>
        <v>0</v>
      </c>
      <c r="H134">
        <f>SUMIF(Purchases!H:H,A134,Purchases!M:M)</f>
        <v>0</v>
      </c>
      <c r="I134">
        <f>SUMIF(Sales!E:E,A134,Sales!G:G)</f>
        <v>0</v>
      </c>
      <c r="J134">
        <f>G134+H134-I134</f>
        <v>0</v>
      </c>
      <c r="K134" t="str">
        <f>IF(J134&lt;=Products!J134,"LOW STOCK","OK")</f>
        <v>LOW STOCK</v>
      </c>
    </row>
    <row r="135" spans="1:11" x14ac:dyDescent="0.25">
      <c r="A135">
        <f>Products!A135</f>
        <v>0</v>
      </c>
      <c r="B135" t="str">
        <f>IFERROR(VLOOKUP($A135,Products!$A:$G,2,FALSE),"")</f>
        <v/>
      </c>
      <c r="G135">
        <f>Products!I135</f>
        <v>0</v>
      </c>
      <c r="H135">
        <f>SUMIF(Purchases!H:H,A135,Purchases!M:M)</f>
        <v>0</v>
      </c>
      <c r="I135">
        <f>SUMIF(Sales!E:E,A135,Sales!G:G)</f>
        <v>0</v>
      </c>
      <c r="J135">
        <f>G135+H135-I135</f>
        <v>0</v>
      </c>
      <c r="K135" t="str">
        <f>IF(J135&lt;=Products!J135,"LOW STOCK","OK")</f>
        <v>LOW STOCK</v>
      </c>
    </row>
    <row r="136" spans="1:11" x14ac:dyDescent="0.25">
      <c r="A136">
        <f>Products!A136</f>
        <v>0</v>
      </c>
      <c r="B136" t="str">
        <f>IFERROR(VLOOKUP($A136,Products!$A:$G,2,FALSE),"")</f>
        <v/>
      </c>
      <c r="G136">
        <f>Products!I136</f>
        <v>0</v>
      </c>
      <c r="H136">
        <f>SUMIF(Purchases!H:H,A136,Purchases!M:M)</f>
        <v>0</v>
      </c>
      <c r="I136">
        <f>SUMIF(Sales!E:E,A136,Sales!G:G)</f>
        <v>0</v>
      </c>
      <c r="J136">
        <f>G136+H136-I136</f>
        <v>0</v>
      </c>
      <c r="K136" t="str">
        <f>IF(J136&lt;=Products!J136,"LOW STOCK","OK")</f>
        <v>LOW STOCK</v>
      </c>
    </row>
    <row r="137" spans="1:11" x14ac:dyDescent="0.25">
      <c r="A137">
        <f>Products!A137</f>
        <v>0</v>
      </c>
      <c r="B137" t="str">
        <f>IFERROR(VLOOKUP($A137,Products!$A:$G,2,FALSE),"")</f>
        <v/>
      </c>
      <c r="G137">
        <f>Products!I137</f>
        <v>0</v>
      </c>
      <c r="H137">
        <f>SUMIF(Purchases!H:H,A137,Purchases!M:M)</f>
        <v>0</v>
      </c>
      <c r="I137">
        <f>SUMIF(Sales!E:E,A137,Sales!G:G)</f>
        <v>0</v>
      </c>
      <c r="J137">
        <f>G137+H137-I137</f>
        <v>0</v>
      </c>
      <c r="K137" t="str">
        <f>IF(J137&lt;=Products!J137,"LOW STOCK","OK")</f>
        <v>LOW STOCK</v>
      </c>
    </row>
    <row r="138" spans="1:11" x14ac:dyDescent="0.25">
      <c r="A138">
        <f>Products!A138</f>
        <v>0</v>
      </c>
      <c r="B138" t="str">
        <f>IFERROR(VLOOKUP($A138,Products!$A:$G,2,FALSE),"")</f>
        <v/>
      </c>
      <c r="G138">
        <f>Products!I138</f>
        <v>0</v>
      </c>
      <c r="H138">
        <f>SUMIF(Purchases!H:H,A138,Purchases!M:M)</f>
        <v>0</v>
      </c>
      <c r="I138">
        <f>SUMIF(Sales!E:E,A138,Sales!G:G)</f>
        <v>0</v>
      </c>
      <c r="J138">
        <f>G138+H138-I138</f>
        <v>0</v>
      </c>
      <c r="K138" t="str">
        <f>IF(J138&lt;=Products!J138,"LOW STOCK","OK")</f>
        <v>LOW STOCK</v>
      </c>
    </row>
    <row r="139" spans="1:11" x14ac:dyDescent="0.25">
      <c r="A139">
        <f>Products!A139</f>
        <v>0</v>
      </c>
      <c r="B139" t="str">
        <f>IFERROR(VLOOKUP($A139,Products!$A:$G,2,FALSE),"")</f>
        <v/>
      </c>
      <c r="G139">
        <f>Products!I139</f>
        <v>0</v>
      </c>
      <c r="H139">
        <f>SUMIF(Purchases!H:H,A139,Purchases!M:M)</f>
        <v>0</v>
      </c>
      <c r="I139">
        <f>SUMIF(Sales!E:E,A139,Sales!G:G)</f>
        <v>0</v>
      </c>
      <c r="J139">
        <f>G139+H139-I139</f>
        <v>0</v>
      </c>
      <c r="K139" t="str">
        <f>IF(J139&lt;=Products!J139,"LOW STOCK","OK")</f>
        <v>LOW STOCK</v>
      </c>
    </row>
    <row r="140" spans="1:11" x14ac:dyDescent="0.25">
      <c r="A140">
        <f>Products!A140</f>
        <v>0</v>
      </c>
      <c r="B140" t="str">
        <f>IFERROR(VLOOKUP($A140,Products!$A:$G,2,FALSE),"")</f>
        <v/>
      </c>
      <c r="G140">
        <f>Products!I140</f>
        <v>0</v>
      </c>
      <c r="H140">
        <f>SUMIF(Purchases!H:H,A140,Purchases!M:M)</f>
        <v>0</v>
      </c>
      <c r="I140">
        <f>SUMIF(Sales!E:E,A140,Sales!G:G)</f>
        <v>0</v>
      </c>
      <c r="J140">
        <f>G140+H140-I140</f>
        <v>0</v>
      </c>
      <c r="K140" t="str">
        <f>IF(J140&lt;=Products!J140,"LOW STOCK","OK")</f>
        <v>LOW STOCK</v>
      </c>
    </row>
    <row r="141" spans="1:11" x14ac:dyDescent="0.25">
      <c r="A141">
        <f>Products!A141</f>
        <v>0</v>
      </c>
      <c r="B141" t="str">
        <f>IFERROR(VLOOKUP($A141,Products!$A:$G,2,FALSE),"")</f>
        <v/>
      </c>
      <c r="G141">
        <f>Products!I141</f>
        <v>0</v>
      </c>
      <c r="H141">
        <f>SUMIF(Purchases!H:H,A141,Purchases!M:M)</f>
        <v>0</v>
      </c>
      <c r="I141">
        <f>SUMIF(Sales!E:E,A141,Sales!G:G)</f>
        <v>0</v>
      </c>
      <c r="J141">
        <f>G141+H141-I141</f>
        <v>0</v>
      </c>
      <c r="K141" t="str">
        <f>IF(J141&lt;=Products!J141,"LOW STOCK","OK")</f>
        <v>LOW STOCK</v>
      </c>
    </row>
    <row r="142" spans="1:11" x14ac:dyDescent="0.25">
      <c r="A142">
        <f>Products!A142</f>
        <v>0</v>
      </c>
      <c r="B142" t="str">
        <f>IFERROR(VLOOKUP($A142,Products!$A:$G,2,FALSE),"")</f>
        <v/>
      </c>
      <c r="G142">
        <f>Products!I142</f>
        <v>0</v>
      </c>
      <c r="H142">
        <f>SUMIF(Purchases!H:H,A142,Purchases!M:M)</f>
        <v>0</v>
      </c>
      <c r="I142">
        <f>SUMIF(Sales!E:E,A142,Sales!G:G)</f>
        <v>0</v>
      </c>
      <c r="J142">
        <f>G142+H142-I142</f>
        <v>0</v>
      </c>
      <c r="K142" t="str">
        <f>IF(J142&lt;=Products!J142,"LOW STOCK","OK")</f>
        <v>LOW STOCK</v>
      </c>
    </row>
    <row r="143" spans="1:11" x14ac:dyDescent="0.25">
      <c r="A143">
        <f>Products!A143</f>
        <v>0</v>
      </c>
      <c r="B143" t="str">
        <f>IFERROR(VLOOKUP($A143,Products!$A:$G,2,FALSE),"")</f>
        <v/>
      </c>
      <c r="G143">
        <f>Products!I143</f>
        <v>0</v>
      </c>
      <c r="H143">
        <f>SUMIF(Purchases!H:H,A143,Purchases!M:M)</f>
        <v>0</v>
      </c>
      <c r="I143">
        <f>SUMIF(Sales!E:E,A143,Sales!G:G)</f>
        <v>0</v>
      </c>
      <c r="J143">
        <f>G143+H143-I143</f>
        <v>0</v>
      </c>
      <c r="K143" t="str">
        <f>IF(J143&lt;=Products!J143,"LOW STOCK","OK")</f>
        <v>LOW STOCK</v>
      </c>
    </row>
    <row r="144" spans="1:11" x14ac:dyDescent="0.25">
      <c r="A144">
        <f>Products!A144</f>
        <v>0</v>
      </c>
      <c r="B144" t="str">
        <f>IFERROR(VLOOKUP($A144,Products!$A:$G,2,FALSE),"")</f>
        <v/>
      </c>
      <c r="G144">
        <f>Products!I144</f>
        <v>0</v>
      </c>
      <c r="H144">
        <f>SUMIF(Purchases!H:H,A144,Purchases!M:M)</f>
        <v>0</v>
      </c>
      <c r="I144">
        <f>SUMIF(Sales!E:E,A144,Sales!G:G)</f>
        <v>0</v>
      </c>
      <c r="J144">
        <f>G144+H144-I144</f>
        <v>0</v>
      </c>
      <c r="K144" t="str">
        <f>IF(J144&lt;=Products!J144,"LOW STOCK","OK")</f>
        <v>LOW STOCK</v>
      </c>
    </row>
    <row r="145" spans="1:11" x14ac:dyDescent="0.25">
      <c r="A145">
        <f>Products!A145</f>
        <v>0</v>
      </c>
      <c r="B145" t="str">
        <f>IFERROR(VLOOKUP($A145,Products!$A:$G,2,FALSE),"")</f>
        <v/>
      </c>
      <c r="G145">
        <f>Products!I145</f>
        <v>0</v>
      </c>
      <c r="H145">
        <f>SUMIF(Purchases!H:H,A145,Purchases!M:M)</f>
        <v>0</v>
      </c>
      <c r="I145">
        <f>SUMIF(Sales!E:E,A145,Sales!G:G)</f>
        <v>0</v>
      </c>
      <c r="J145">
        <f>G145+H145-I145</f>
        <v>0</v>
      </c>
      <c r="K145" t="str">
        <f>IF(J145&lt;=Products!J145,"LOW STOCK","OK")</f>
        <v>LOW STOCK</v>
      </c>
    </row>
    <row r="146" spans="1:11" x14ac:dyDescent="0.25">
      <c r="A146">
        <f>Products!A146</f>
        <v>0</v>
      </c>
      <c r="B146" t="str">
        <f>IFERROR(VLOOKUP($A146,Products!$A:$G,2,FALSE),"")</f>
        <v/>
      </c>
      <c r="G146">
        <f>Products!I146</f>
        <v>0</v>
      </c>
      <c r="H146">
        <f>SUMIF(Purchases!H:H,A146,Purchases!M:M)</f>
        <v>0</v>
      </c>
      <c r="I146">
        <f>SUMIF(Sales!E:E,A146,Sales!G:G)</f>
        <v>0</v>
      </c>
      <c r="J146">
        <f>G146+H146-I146</f>
        <v>0</v>
      </c>
      <c r="K146" t="str">
        <f>IF(J146&lt;=Products!J146,"LOW STOCK","OK")</f>
        <v>LOW STOCK</v>
      </c>
    </row>
    <row r="147" spans="1:11" x14ac:dyDescent="0.25">
      <c r="A147">
        <f>Products!A147</f>
        <v>0</v>
      </c>
      <c r="B147" t="str">
        <f>IFERROR(VLOOKUP($A147,Products!$A:$G,2,FALSE),"")</f>
        <v/>
      </c>
      <c r="G147">
        <f>Products!I147</f>
        <v>0</v>
      </c>
      <c r="H147">
        <f>SUMIF(Purchases!H:H,A147,Purchases!M:M)</f>
        <v>0</v>
      </c>
      <c r="I147">
        <f>SUMIF(Sales!E:E,A147,Sales!G:G)</f>
        <v>0</v>
      </c>
      <c r="J147">
        <f>G147+H147-I147</f>
        <v>0</v>
      </c>
      <c r="K147" t="str">
        <f>IF(J147&lt;=Products!J147,"LOW STOCK","OK")</f>
        <v>LOW STOCK</v>
      </c>
    </row>
    <row r="148" spans="1:11" x14ac:dyDescent="0.25">
      <c r="A148">
        <f>Products!A148</f>
        <v>0</v>
      </c>
      <c r="B148" t="str">
        <f>IFERROR(VLOOKUP($A148,Products!$A:$G,2,FALSE),"")</f>
        <v/>
      </c>
      <c r="G148">
        <f>Products!I148</f>
        <v>0</v>
      </c>
      <c r="H148">
        <f>SUMIF(Purchases!H:H,A148,Purchases!M:M)</f>
        <v>0</v>
      </c>
      <c r="I148">
        <f>SUMIF(Sales!E:E,A148,Sales!G:G)</f>
        <v>0</v>
      </c>
      <c r="J148">
        <f>G148+H148-I148</f>
        <v>0</v>
      </c>
      <c r="K148" t="str">
        <f>IF(J148&lt;=Products!J148,"LOW STOCK","OK")</f>
        <v>LOW STOCK</v>
      </c>
    </row>
    <row r="149" spans="1:11" x14ac:dyDescent="0.25">
      <c r="A149">
        <f>Products!A149</f>
        <v>0</v>
      </c>
      <c r="B149" t="str">
        <f>IFERROR(VLOOKUP($A149,Products!$A:$G,2,FALSE),"")</f>
        <v/>
      </c>
      <c r="G149">
        <f>Products!I149</f>
        <v>0</v>
      </c>
      <c r="H149">
        <f>SUMIF(Purchases!H:H,A149,Purchases!M:M)</f>
        <v>0</v>
      </c>
      <c r="I149">
        <f>SUMIF(Sales!E:E,A149,Sales!G:G)</f>
        <v>0</v>
      </c>
      <c r="J149">
        <f>G149+H149-I149</f>
        <v>0</v>
      </c>
      <c r="K149" t="str">
        <f>IF(J149&lt;=Products!J149,"LOW STOCK","OK")</f>
        <v>LOW STOCK</v>
      </c>
    </row>
    <row r="150" spans="1:11" x14ac:dyDescent="0.25">
      <c r="A150">
        <f>Products!A150</f>
        <v>0</v>
      </c>
      <c r="B150" t="str">
        <f>IFERROR(VLOOKUP($A150,Products!$A:$G,2,FALSE),"")</f>
        <v/>
      </c>
      <c r="G150">
        <f>Products!I150</f>
        <v>0</v>
      </c>
      <c r="H150">
        <f>SUMIF(Purchases!H:H,A150,Purchases!M:M)</f>
        <v>0</v>
      </c>
      <c r="I150">
        <f>SUMIF(Sales!E:E,A150,Sales!G:G)</f>
        <v>0</v>
      </c>
      <c r="J150">
        <f>G150+H150-I150</f>
        <v>0</v>
      </c>
      <c r="K150" t="str">
        <f>IF(J150&lt;=Products!J150,"LOW STOCK","OK")</f>
        <v>LOW STOCK</v>
      </c>
    </row>
    <row r="151" spans="1:11" x14ac:dyDescent="0.25">
      <c r="A151">
        <f>Products!A151</f>
        <v>0</v>
      </c>
      <c r="B151" t="str">
        <f>IFERROR(VLOOKUP($A151,Products!$A:$G,2,FALSE),"")</f>
        <v/>
      </c>
      <c r="G151">
        <f>Products!I151</f>
        <v>0</v>
      </c>
      <c r="H151">
        <f>SUMIF(Purchases!H:H,A151,Purchases!M:M)</f>
        <v>0</v>
      </c>
      <c r="I151">
        <f>SUMIF(Sales!E:E,A151,Sales!G:G)</f>
        <v>0</v>
      </c>
      <c r="J151">
        <f>G151+H151-I151</f>
        <v>0</v>
      </c>
      <c r="K151" t="str">
        <f>IF(J151&lt;=Products!J151,"LOW STOCK","OK")</f>
        <v>LOW STOCK</v>
      </c>
    </row>
    <row r="152" spans="1:11" x14ac:dyDescent="0.25">
      <c r="A152">
        <f>Products!A152</f>
        <v>0</v>
      </c>
      <c r="B152" t="str">
        <f>IFERROR(VLOOKUP($A152,Products!$A:$G,2,FALSE),"")</f>
        <v/>
      </c>
      <c r="G152">
        <f>Products!I152</f>
        <v>0</v>
      </c>
      <c r="H152">
        <f>SUMIF(Purchases!H:H,A152,Purchases!M:M)</f>
        <v>0</v>
      </c>
      <c r="I152">
        <f>SUMIF(Sales!E:E,A152,Sales!G:G)</f>
        <v>0</v>
      </c>
      <c r="J152">
        <f>G152+H152-I152</f>
        <v>0</v>
      </c>
      <c r="K152" t="str">
        <f>IF(J152&lt;=Products!J152,"LOW STOCK","OK")</f>
        <v>LOW STOCK</v>
      </c>
    </row>
    <row r="153" spans="1:11" x14ac:dyDescent="0.25">
      <c r="A153">
        <f>Products!A153</f>
        <v>0</v>
      </c>
      <c r="B153" t="str">
        <f>IFERROR(VLOOKUP($A153,Products!$A:$G,2,FALSE),"")</f>
        <v/>
      </c>
      <c r="G153">
        <f>Products!I153</f>
        <v>0</v>
      </c>
      <c r="H153">
        <f>SUMIF(Purchases!H:H,A153,Purchases!M:M)</f>
        <v>0</v>
      </c>
      <c r="I153">
        <f>SUMIF(Sales!E:E,A153,Sales!G:G)</f>
        <v>0</v>
      </c>
      <c r="J153">
        <f>G153+H153-I153</f>
        <v>0</v>
      </c>
      <c r="K153" t="str">
        <f>IF(J153&lt;=Products!J153,"LOW STOCK","OK")</f>
        <v>LOW STOCK</v>
      </c>
    </row>
    <row r="154" spans="1:11" x14ac:dyDescent="0.25">
      <c r="A154">
        <f>Products!A154</f>
        <v>0</v>
      </c>
      <c r="B154" t="str">
        <f>IFERROR(VLOOKUP($A154,Products!$A:$G,2,FALSE),"")</f>
        <v/>
      </c>
      <c r="G154">
        <f>Products!I154</f>
        <v>0</v>
      </c>
      <c r="H154">
        <f>SUMIF(Purchases!H:H,A154,Purchases!M:M)</f>
        <v>0</v>
      </c>
      <c r="I154">
        <f>SUMIF(Sales!E:E,A154,Sales!G:G)</f>
        <v>0</v>
      </c>
      <c r="J154">
        <f>G154+H154-I154</f>
        <v>0</v>
      </c>
      <c r="K154" t="str">
        <f>IF(J154&lt;=Products!J154,"LOW STOCK","OK")</f>
        <v>LOW STOCK</v>
      </c>
    </row>
    <row r="155" spans="1:11" x14ac:dyDescent="0.25">
      <c r="A155">
        <f>Products!A155</f>
        <v>0</v>
      </c>
      <c r="B155" t="str">
        <f>IFERROR(VLOOKUP($A155,Products!$A:$G,2,FALSE),"")</f>
        <v/>
      </c>
      <c r="G155">
        <f>Products!I155</f>
        <v>0</v>
      </c>
      <c r="H155">
        <f>SUMIF(Purchases!H:H,A155,Purchases!M:M)</f>
        <v>0</v>
      </c>
      <c r="I155">
        <f>SUMIF(Sales!E:E,A155,Sales!G:G)</f>
        <v>0</v>
      </c>
      <c r="J155">
        <f>G155+H155-I155</f>
        <v>0</v>
      </c>
      <c r="K155" t="str">
        <f>IF(J155&lt;=Products!J155,"LOW STOCK","OK")</f>
        <v>LOW STOCK</v>
      </c>
    </row>
    <row r="156" spans="1:11" x14ac:dyDescent="0.25">
      <c r="A156">
        <f>Products!A156</f>
        <v>0</v>
      </c>
      <c r="B156" t="str">
        <f>IFERROR(VLOOKUP($A156,Products!$A:$G,2,FALSE),"")</f>
        <v/>
      </c>
      <c r="G156">
        <f>Products!I156</f>
        <v>0</v>
      </c>
      <c r="H156">
        <f>SUMIF(Purchases!H:H,A156,Purchases!M:M)</f>
        <v>0</v>
      </c>
      <c r="I156">
        <f>SUMIF(Sales!E:E,A156,Sales!G:G)</f>
        <v>0</v>
      </c>
      <c r="J156">
        <f>G156+H156-I156</f>
        <v>0</v>
      </c>
      <c r="K156" t="str">
        <f>IF(J156&lt;=Products!J156,"LOW STOCK","OK")</f>
        <v>LOW STOCK</v>
      </c>
    </row>
    <row r="157" spans="1:11" x14ac:dyDescent="0.25">
      <c r="A157">
        <f>Products!A157</f>
        <v>0</v>
      </c>
      <c r="B157" t="str">
        <f>IFERROR(VLOOKUP($A157,Products!$A:$G,2,FALSE),"")</f>
        <v/>
      </c>
      <c r="G157">
        <f>Products!I157</f>
        <v>0</v>
      </c>
      <c r="H157">
        <f>SUMIF(Purchases!H:H,A157,Purchases!M:M)</f>
        <v>0</v>
      </c>
      <c r="I157">
        <f>SUMIF(Sales!E:E,A157,Sales!G:G)</f>
        <v>0</v>
      </c>
      <c r="J157">
        <f>G157+H157-I157</f>
        <v>0</v>
      </c>
      <c r="K157" t="str">
        <f>IF(J157&lt;=Products!J157,"LOW STOCK","OK")</f>
        <v>LOW STOCK</v>
      </c>
    </row>
    <row r="158" spans="1:11" x14ac:dyDescent="0.25">
      <c r="A158">
        <f>Products!A158</f>
        <v>0</v>
      </c>
      <c r="B158" t="str">
        <f>IFERROR(VLOOKUP($A158,Products!$A:$G,2,FALSE),"")</f>
        <v/>
      </c>
      <c r="G158">
        <f>Products!I158</f>
        <v>0</v>
      </c>
      <c r="H158">
        <f>SUMIF(Purchases!H:H,A158,Purchases!M:M)</f>
        <v>0</v>
      </c>
      <c r="I158">
        <f>SUMIF(Sales!E:E,A158,Sales!G:G)</f>
        <v>0</v>
      </c>
      <c r="J158">
        <f>G158+H158-I158</f>
        <v>0</v>
      </c>
      <c r="K158" t="str">
        <f>IF(J158&lt;=Products!J158,"LOW STOCK","OK")</f>
        <v>LOW STOCK</v>
      </c>
    </row>
    <row r="159" spans="1:11" x14ac:dyDescent="0.25">
      <c r="A159">
        <f>Products!A159</f>
        <v>0</v>
      </c>
      <c r="B159" t="str">
        <f>IFERROR(VLOOKUP($A159,Products!$A:$G,2,FALSE),"")</f>
        <v/>
      </c>
      <c r="G159">
        <f>Products!I159</f>
        <v>0</v>
      </c>
      <c r="H159">
        <f>SUMIF(Purchases!H:H,A159,Purchases!M:M)</f>
        <v>0</v>
      </c>
      <c r="I159">
        <f>SUMIF(Sales!E:E,A159,Sales!G:G)</f>
        <v>0</v>
      </c>
      <c r="J159">
        <f>G159+H159-I159</f>
        <v>0</v>
      </c>
      <c r="K159" t="str">
        <f>IF(J159&lt;=Products!J159,"LOW STOCK","OK")</f>
        <v>LOW STOCK</v>
      </c>
    </row>
    <row r="160" spans="1:11" x14ac:dyDescent="0.25">
      <c r="A160">
        <f>Products!A160</f>
        <v>0</v>
      </c>
      <c r="B160" t="str">
        <f>IFERROR(VLOOKUP($A160,Products!$A:$G,2,FALSE),"")</f>
        <v/>
      </c>
      <c r="G160">
        <f>Products!I160</f>
        <v>0</v>
      </c>
      <c r="H160">
        <f>SUMIF(Purchases!H:H,A160,Purchases!M:M)</f>
        <v>0</v>
      </c>
      <c r="I160">
        <f>SUMIF(Sales!E:E,A160,Sales!G:G)</f>
        <v>0</v>
      </c>
      <c r="J160">
        <f>G160+H160-I160</f>
        <v>0</v>
      </c>
      <c r="K160" t="str">
        <f>IF(J160&lt;=Products!J160,"LOW STOCK","OK")</f>
        <v>LOW STOCK</v>
      </c>
    </row>
    <row r="161" spans="1:11" x14ac:dyDescent="0.25">
      <c r="A161">
        <f>Products!A161</f>
        <v>0</v>
      </c>
      <c r="B161" t="str">
        <f>IFERROR(VLOOKUP($A161,Products!$A:$G,2,FALSE),"")</f>
        <v/>
      </c>
      <c r="G161">
        <f>Products!I161</f>
        <v>0</v>
      </c>
      <c r="H161">
        <f>SUMIF(Purchases!H:H,A161,Purchases!M:M)</f>
        <v>0</v>
      </c>
      <c r="I161">
        <f>SUMIF(Sales!E:E,A161,Sales!G:G)</f>
        <v>0</v>
      </c>
      <c r="J161">
        <f>G161+H161-I161</f>
        <v>0</v>
      </c>
      <c r="K161" t="str">
        <f>IF(J161&lt;=Products!J161,"LOW STOCK","OK")</f>
        <v>LOW STOCK</v>
      </c>
    </row>
    <row r="162" spans="1:11" x14ac:dyDescent="0.25">
      <c r="A162">
        <f>Products!A162</f>
        <v>0</v>
      </c>
      <c r="B162" t="str">
        <f>IFERROR(VLOOKUP($A162,Products!$A:$G,2,FALSE),"")</f>
        <v/>
      </c>
      <c r="G162">
        <f>Products!I162</f>
        <v>0</v>
      </c>
      <c r="H162">
        <f>SUMIF(Purchases!H:H,A162,Purchases!M:M)</f>
        <v>0</v>
      </c>
      <c r="I162">
        <f>SUMIF(Sales!E:E,A162,Sales!G:G)</f>
        <v>0</v>
      </c>
      <c r="J162">
        <f>G162+H162-I162</f>
        <v>0</v>
      </c>
      <c r="K162" t="str">
        <f>IF(J162&lt;=Products!J162,"LOW STOCK","OK")</f>
        <v>LOW STOCK</v>
      </c>
    </row>
    <row r="163" spans="1:11" x14ac:dyDescent="0.25">
      <c r="A163">
        <f>Products!A163</f>
        <v>0</v>
      </c>
      <c r="B163" t="str">
        <f>IFERROR(VLOOKUP($A163,Products!$A:$G,2,FALSE),"")</f>
        <v/>
      </c>
      <c r="G163">
        <f>Products!I163</f>
        <v>0</v>
      </c>
      <c r="H163">
        <f>SUMIF(Purchases!H:H,A163,Purchases!M:M)</f>
        <v>0</v>
      </c>
      <c r="I163">
        <f>SUMIF(Sales!E:E,A163,Sales!G:G)</f>
        <v>0</v>
      </c>
      <c r="J163">
        <f>G163+H163-I163</f>
        <v>0</v>
      </c>
      <c r="K163" t="str">
        <f>IF(J163&lt;=Products!J163,"LOW STOCK","OK")</f>
        <v>LOW STOCK</v>
      </c>
    </row>
    <row r="164" spans="1:11" x14ac:dyDescent="0.25">
      <c r="A164">
        <f>Products!A164</f>
        <v>0</v>
      </c>
      <c r="B164" t="str">
        <f>IFERROR(VLOOKUP($A164,Products!$A:$G,2,FALSE),"")</f>
        <v/>
      </c>
      <c r="G164">
        <f>Products!I164</f>
        <v>0</v>
      </c>
      <c r="H164">
        <f>SUMIF(Purchases!H:H,A164,Purchases!M:M)</f>
        <v>0</v>
      </c>
      <c r="I164">
        <f>SUMIF(Sales!E:E,A164,Sales!G:G)</f>
        <v>0</v>
      </c>
      <c r="J164">
        <f>G164+H164-I164</f>
        <v>0</v>
      </c>
      <c r="K164" t="str">
        <f>IF(J164&lt;=Products!J164,"LOW STOCK","OK")</f>
        <v>LOW STOCK</v>
      </c>
    </row>
    <row r="165" spans="1:11" x14ac:dyDescent="0.25">
      <c r="A165">
        <f>Products!A165</f>
        <v>0</v>
      </c>
      <c r="B165" t="str">
        <f>IFERROR(VLOOKUP($A165,Products!$A:$G,2,FALSE),"")</f>
        <v/>
      </c>
      <c r="G165">
        <f>Products!I165</f>
        <v>0</v>
      </c>
      <c r="H165">
        <f>SUMIF(Purchases!H:H,A165,Purchases!M:M)</f>
        <v>0</v>
      </c>
      <c r="I165">
        <f>SUMIF(Sales!E:E,A165,Sales!G:G)</f>
        <v>0</v>
      </c>
      <c r="J165">
        <f>G165+H165-I165</f>
        <v>0</v>
      </c>
      <c r="K165" t="str">
        <f>IF(J165&lt;=Products!J165,"LOW STOCK","OK")</f>
        <v>LOW STOCK</v>
      </c>
    </row>
    <row r="166" spans="1:11" x14ac:dyDescent="0.25">
      <c r="A166">
        <f>Products!A166</f>
        <v>0</v>
      </c>
      <c r="B166" t="str">
        <f>IFERROR(VLOOKUP($A166,Products!$A:$G,2,FALSE),"")</f>
        <v/>
      </c>
      <c r="G166">
        <f>Products!I166</f>
        <v>0</v>
      </c>
      <c r="H166">
        <f>SUMIF(Purchases!H:H,A166,Purchases!M:M)</f>
        <v>0</v>
      </c>
      <c r="I166">
        <f>SUMIF(Sales!E:E,A166,Sales!G:G)</f>
        <v>0</v>
      </c>
      <c r="J166">
        <f>G166+H166-I166</f>
        <v>0</v>
      </c>
      <c r="K166" t="str">
        <f>IF(J166&lt;=Products!J166,"LOW STOCK","OK")</f>
        <v>LOW STOCK</v>
      </c>
    </row>
    <row r="167" spans="1:11" x14ac:dyDescent="0.25">
      <c r="A167">
        <f>Products!A167</f>
        <v>0</v>
      </c>
      <c r="B167" t="str">
        <f>IFERROR(VLOOKUP($A167,Products!$A:$G,2,FALSE),"")</f>
        <v/>
      </c>
      <c r="G167">
        <f>Products!I167</f>
        <v>0</v>
      </c>
      <c r="H167">
        <f>SUMIF(Purchases!H:H,A167,Purchases!M:M)</f>
        <v>0</v>
      </c>
      <c r="I167">
        <f>SUMIF(Sales!E:E,A167,Sales!G:G)</f>
        <v>0</v>
      </c>
      <c r="J167">
        <f>G167+H167-I167</f>
        <v>0</v>
      </c>
      <c r="K167" t="str">
        <f>IF(J167&lt;=Products!J167,"LOW STOCK","OK")</f>
        <v>LOW STOCK</v>
      </c>
    </row>
    <row r="168" spans="1:11" x14ac:dyDescent="0.25">
      <c r="A168">
        <f>Products!A168</f>
        <v>0</v>
      </c>
      <c r="B168" t="str">
        <f>IFERROR(VLOOKUP($A168,Products!$A:$G,2,FALSE),"")</f>
        <v/>
      </c>
      <c r="G168">
        <f>Products!I168</f>
        <v>0</v>
      </c>
      <c r="H168">
        <f>SUMIF(Purchases!H:H,A168,Purchases!M:M)</f>
        <v>0</v>
      </c>
      <c r="I168">
        <f>SUMIF(Sales!E:E,A168,Sales!G:G)</f>
        <v>0</v>
      </c>
      <c r="J168">
        <f>G168+H168-I168</f>
        <v>0</v>
      </c>
      <c r="K168" t="str">
        <f>IF(J168&lt;=Products!J168,"LOW STOCK","OK")</f>
        <v>LOW STOCK</v>
      </c>
    </row>
    <row r="169" spans="1:11" x14ac:dyDescent="0.25">
      <c r="A169">
        <f>Products!A169</f>
        <v>0</v>
      </c>
      <c r="B169" t="str">
        <f>IFERROR(VLOOKUP($A169,Products!$A:$G,2,FALSE),"")</f>
        <v/>
      </c>
      <c r="G169">
        <f>Products!I169</f>
        <v>0</v>
      </c>
      <c r="H169">
        <f>SUMIF(Purchases!H:H,A169,Purchases!M:M)</f>
        <v>0</v>
      </c>
      <c r="I169">
        <f>SUMIF(Sales!E:E,A169,Sales!G:G)</f>
        <v>0</v>
      </c>
      <c r="J169">
        <f>G169+H169-I169</f>
        <v>0</v>
      </c>
      <c r="K169" t="str">
        <f>IF(J169&lt;=Products!J169,"LOW STOCK","OK")</f>
        <v>LOW STOCK</v>
      </c>
    </row>
    <row r="170" spans="1:11" x14ac:dyDescent="0.25">
      <c r="A170">
        <f>Products!A170</f>
        <v>0</v>
      </c>
      <c r="B170" t="str">
        <f>IFERROR(VLOOKUP($A170,Products!$A:$G,2,FALSE),"")</f>
        <v/>
      </c>
      <c r="G170">
        <f>Products!I170</f>
        <v>0</v>
      </c>
      <c r="H170">
        <f>SUMIF(Purchases!H:H,A170,Purchases!M:M)</f>
        <v>0</v>
      </c>
      <c r="I170">
        <f>SUMIF(Sales!E:E,A170,Sales!G:G)</f>
        <v>0</v>
      </c>
      <c r="J170">
        <f>G170+H170-I170</f>
        <v>0</v>
      </c>
      <c r="K170" t="str">
        <f>IF(J170&lt;=Products!J170,"LOW STOCK","OK")</f>
        <v>LOW STOCK</v>
      </c>
    </row>
    <row r="171" spans="1:11" x14ac:dyDescent="0.25">
      <c r="A171">
        <f>Products!A171</f>
        <v>0</v>
      </c>
      <c r="B171" t="str">
        <f>IFERROR(VLOOKUP($A171,Products!$A:$G,2,FALSE),"")</f>
        <v/>
      </c>
      <c r="G171">
        <f>Products!I171</f>
        <v>0</v>
      </c>
      <c r="H171">
        <f>SUMIF(Purchases!H:H,A171,Purchases!M:M)</f>
        <v>0</v>
      </c>
      <c r="I171">
        <f>SUMIF(Sales!E:E,A171,Sales!G:G)</f>
        <v>0</v>
      </c>
      <c r="J171">
        <f>G171+H171-I171</f>
        <v>0</v>
      </c>
      <c r="K171" t="str">
        <f>IF(J171&lt;=Products!J171,"LOW STOCK","OK")</f>
        <v>LOW STOCK</v>
      </c>
    </row>
    <row r="172" spans="1:11" x14ac:dyDescent="0.25">
      <c r="A172">
        <f>Products!A172</f>
        <v>0</v>
      </c>
      <c r="B172" t="str">
        <f>IFERROR(VLOOKUP($A172,Products!$A:$G,2,FALSE),"")</f>
        <v/>
      </c>
      <c r="G172">
        <f>Products!I172</f>
        <v>0</v>
      </c>
      <c r="H172">
        <f>SUMIF(Purchases!H:H,A172,Purchases!M:M)</f>
        <v>0</v>
      </c>
      <c r="I172">
        <f>SUMIF(Sales!E:E,A172,Sales!G:G)</f>
        <v>0</v>
      </c>
      <c r="J172">
        <f>G172+H172-I172</f>
        <v>0</v>
      </c>
      <c r="K172" t="str">
        <f>IF(J172&lt;=Products!J172,"LOW STOCK","OK")</f>
        <v>LOW STOCK</v>
      </c>
    </row>
    <row r="173" spans="1:11" x14ac:dyDescent="0.25">
      <c r="A173">
        <f>Products!A173</f>
        <v>0</v>
      </c>
      <c r="B173" t="str">
        <f>IFERROR(VLOOKUP($A173,Products!$A:$G,2,FALSE),"")</f>
        <v/>
      </c>
      <c r="G173">
        <f>Products!I173</f>
        <v>0</v>
      </c>
      <c r="H173">
        <f>SUMIF(Purchases!H:H,A173,Purchases!M:M)</f>
        <v>0</v>
      </c>
      <c r="I173">
        <f>SUMIF(Sales!E:E,A173,Sales!G:G)</f>
        <v>0</v>
      </c>
      <c r="J173">
        <f>G173+H173-I173</f>
        <v>0</v>
      </c>
      <c r="K173" t="str">
        <f>IF(J173&lt;=Products!J173,"LOW STOCK","OK")</f>
        <v>LOW STOCK</v>
      </c>
    </row>
    <row r="174" spans="1:11" x14ac:dyDescent="0.25">
      <c r="A174">
        <f>Products!A174</f>
        <v>0</v>
      </c>
      <c r="B174" t="str">
        <f>IFERROR(VLOOKUP($A174,Products!$A:$G,2,FALSE),"")</f>
        <v/>
      </c>
      <c r="G174">
        <f>Products!I174</f>
        <v>0</v>
      </c>
      <c r="H174">
        <f>SUMIF(Purchases!H:H,A174,Purchases!M:M)</f>
        <v>0</v>
      </c>
      <c r="I174">
        <f>SUMIF(Sales!E:E,A174,Sales!G:G)</f>
        <v>0</v>
      </c>
      <c r="J174">
        <f>G174+H174-I174</f>
        <v>0</v>
      </c>
      <c r="K174" t="str">
        <f>IF(J174&lt;=Products!J174,"LOW STOCK","OK")</f>
        <v>LOW STOCK</v>
      </c>
    </row>
    <row r="175" spans="1:11" x14ac:dyDescent="0.25">
      <c r="A175">
        <f>Products!A175</f>
        <v>0</v>
      </c>
      <c r="B175" t="str">
        <f>IFERROR(VLOOKUP($A175,Products!$A:$G,2,FALSE),"")</f>
        <v/>
      </c>
      <c r="G175">
        <f>Products!I175</f>
        <v>0</v>
      </c>
      <c r="H175">
        <f>SUMIF(Purchases!H:H,A175,Purchases!M:M)</f>
        <v>0</v>
      </c>
      <c r="I175">
        <f>SUMIF(Sales!E:E,A175,Sales!G:G)</f>
        <v>0</v>
      </c>
      <c r="J175">
        <f>G175+H175-I175</f>
        <v>0</v>
      </c>
      <c r="K175" t="str">
        <f>IF(J175&lt;=Products!J175,"LOW STOCK","OK")</f>
        <v>LOW STOCK</v>
      </c>
    </row>
    <row r="176" spans="1:11" x14ac:dyDescent="0.25">
      <c r="A176">
        <f>Products!A176</f>
        <v>0</v>
      </c>
      <c r="B176" t="str">
        <f>IFERROR(VLOOKUP($A176,Products!$A:$G,2,FALSE),"")</f>
        <v/>
      </c>
      <c r="G176">
        <f>Products!I176</f>
        <v>0</v>
      </c>
      <c r="H176">
        <f>SUMIF(Purchases!H:H,A176,Purchases!M:M)</f>
        <v>0</v>
      </c>
      <c r="I176">
        <f>SUMIF(Sales!E:E,A176,Sales!G:G)</f>
        <v>0</v>
      </c>
      <c r="J176">
        <f>G176+H176-I176</f>
        <v>0</v>
      </c>
      <c r="K176" t="str">
        <f>IF(J176&lt;=Products!J176,"LOW STOCK","OK")</f>
        <v>LOW STOCK</v>
      </c>
    </row>
    <row r="177" spans="1:11" x14ac:dyDescent="0.25">
      <c r="A177">
        <f>Products!A177</f>
        <v>0</v>
      </c>
      <c r="B177" t="str">
        <f>IFERROR(VLOOKUP($A177,Products!$A:$G,2,FALSE),"")</f>
        <v/>
      </c>
      <c r="G177">
        <f>Products!I177</f>
        <v>0</v>
      </c>
      <c r="H177">
        <f>SUMIF(Purchases!H:H,A177,Purchases!M:M)</f>
        <v>0</v>
      </c>
      <c r="I177">
        <f>SUMIF(Sales!E:E,A177,Sales!G:G)</f>
        <v>0</v>
      </c>
      <c r="J177">
        <f>G177+H177-I177</f>
        <v>0</v>
      </c>
      <c r="K177" t="str">
        <f>IF(J177&lt;=Products!J177,"LOW STOCK","OK")</f>
        <v>LOW STOCK</v>
      </c>
    </row>
    <row r="178" spans="1:11" x14ac:dyDescent="0.25">
      <c r="A178">
        <f>Products!A178</f>
        <v>0</v>
      </c>
      <c r="B178" t="str">
        <f>IFERROR(VLOOKUP($A178,Products!$A:$G,2,FALSE),"")</f>
        <v/>
      </c>
      <c r="G178">
        <f>Products!I178</f>
        <v>0</v>
      </c>
      <c r="H178">
        <f>SUMIF(Purchases!H:H,A178,Purchases!M:M)</f>
        <v>0</v>
      </c>
      <c r="I178">
        <f>SUMIF(Sales!E:E,A178,Sales!G:G)</f>
        <v>0</v>
      </c>
      <c r="J178">
        <f>G178+H178-I178</f>
        <v>0</v>
      </c>
      <c r="K178" t="str">
        <f>IF(J178&lt;=Products!J178,"LOW STOCK","OK")</f>
        <v>LOW STOCK</v>
      </c>
    </row>
    <row r="179" spans="1:11" x14ac:dyDescent="0.25">
      <c r="A179">
        <f>Products!A179</f>
        <v>0</v>
      </c>
      <c r="B179" t="str">
        <f>IFERROR(VLOOKUP($A179,Products!$A:$G,2,FALSE),"")</f>
        <v/>
      </c>
      <c r="G179">
        <f>Products!I179</f>
        <v>0</v>
      </c>
      <c r="H179">
        <f>SUMIF(Purchases!H:H,A179,Purchases!M:M)</f>
        <v>0</v>
      </c>
      <c r="I179">
        <f>SUMIF(Sales!E:E,A179,Sales!G:G)</f>
        <v>0</v>
      </c>
      <c r="J179">
        <f>G179+H179-I179</f>
        <v>0</v>
      </c>
      <c r="K179" t="str">
        <f>IF(J179&lt;=Products!J179,"LOW STOCK","OK")</f>
        <v>LOW STOCK</v>
      </c>
    </row>
    <row r="180" spans="1:11" x14ac:dyDescent="0.25">
      <c r="A180">
        <f>Products!A180</f>
        <v>0</v>
      </c>
      <c r="B180" t="str">
        <f>IFERROR(VLOOKUP($A180,Products!$A:$G,2,FALSE),"")</f>
        <v/>
      </c>
      <c r="G180">
        <f>Products!I180</f>
        <v>0</v>
      </c>
      <c r="H180">
        <f>SUMIF(Purchases!H:H,A180,Purchases!M:M)</f>
        <v>0</v>
      </c>
      <c r="I180">
        <f>SUMIF(Sales!E:E,A180,Sales!G:G)</f>
        <v>0</v>
      </c>
      <c r="J180">
        <f>G180+H180-I180</f>
        <v>0</v>
      </c>
      <c r="K180" t="str">
        <f>IF(J180&lt;=Products!J180,"LOW STOCK","OK")</f>
        <v>LOW STOCK</v>
      </c>
    </row>
    <row r="181" spans="1:11" x14ac:dyDescent="0.25">
      <c r="A181">
        <f>Products!A181</f>
        <v>0</v>
      </c>
      <c r="B181" t="str">
        <f>IFERROR(VLOOKUP($A181,Products!$A:$G,2,FALSE),"")</f>
        <v/>
      </c>
      <c r="G181">
        <f>Products!I181</f>
        <v>0</v>
      </c>
      <c r="H181">
        <f>SUMIF(Purchases!H:H,A181,Purchases!M:M)</f>
        <v>0</v>
      </c>
      <c r="I181">
        <f>SUMIF(Sales!E:E,A181,Sales!G:G)</f>
        <v>0</v>
      </c>
      <c r="J181">
        <f>G181+H181-I181</f>
        <v>0</v>
      </c>
      <c r="K181" t="str">
        <f>IF(J181&lt;=Products!J181,"LOW STOCK","OK")</f>
        <v>LOW STOCK</v>
      </c>
    </row>
    <row r="182" spans="1:11" x14ac:dyDescent="0.25">
      <c r="A182">
        <f>Products!A182</f>
        <v>0</v>
      </c>
      <c r="B182" t="str">
        <f>IFERROR(VLOOKUP($A182,Products!$A:$G,2,FALSE),"")</f>
        <v/>
      </c>
      <c r="G182">
        <f>Products!I182</f>
        <v>0</v>
      </c>
      <c r="H182">
        <f>SUMIF(Purchases!H:H,A182,Purchases!M:M)</f>
        <v>0</v>
      </c>
      <c r="I182">
        <f>SUMIF(Sales!E:E,A182,Sales!G:G)</f>
        <v>0</v>
      </c>
      <c r="J182">
        <f>G182+H182-I182</f>
        <v>0</v>
      </c>
      <c r="K182" t="str">
        <f>IF(J182&lt;=Products!J182,"LOW STOCK","OK")</f>
        <v>LOW STOCK</v>
      </c>
    </row>
    <row r="183" spans="1:11" x14ac:dyDescent="0.25">
      <c r="A183">
        <f>Products!A183</f>
        <v>0</v>
      </c>
      <c r="B183" t="str">
        <f>IFERROR(VLOOKUP($A183,Products!$A:$G,2,FALSE),"")</f>
        <v/>
      </c>
      <c r="G183">
        <f>Products!I183</f>
        <v>0</v>
      </c>
      <c r="H183">
        <f>SUMIF(Purchases!H:H,A183,Purchases!M:M)</f>
        <v>0</v>
      </c>
      <c r="I183">
        <f>SUMIF(Sales!E:E,A183,Sales!G:G)</f>
        <v>0</v>
      </c>
      <c r="J183">
        <f>G183+H183-I183</f>
        <v>0</v>
      </c>
      <c r="K183" t="str">
        <f>IF(J183&lt;=Products!J183,"LOW STOCK","OK")</f>
        <v>LOW STOCK</v>
      </c>
    </row>
    <row r="184" spans="1:11" x14ac:dyDescent="0.25">
      <c r="A184">
        <f>Products!A184</f>
        <v>0</v>
      </c>
      <c r="B184" t="str">
        <f>IFERROR(VLOOKUP($A184,Products!$A:$G,2,FALSE),"")</f>
        <v/>
      </c>
      <c r="G184">
        <f>Products!I184</f>
        <v>0</v>
      </c>
      <c r="H184">
        <f>SUMIF(Purchases!H:H,A184,Purchases!M:M)</f>
        <v>0</v>
      </c>
      <c r="I184">
        <f>SUMIF(Sales!E:E,A184,Sales!G:G)</f>
        <v>0</v>
      </c>
      <c r="J184">
        <f>G184+H184-I184</f>
        <v>0</v>
      </c>
      <c r="K184" t="str">
        <f>IF(J184&lt;=Products!J184,"LOW STOCK","OK")</f>
        <v>LOW STOCK</v>
      </c>
    </row>
    <row r="185" spans="1:11" x14ac:dyDescent="0.25">
      <c r="A185">
        <f>Products!A185</f>
        <v>0</v>
      </c>
      <c r="B185" t="str">
        <f>IFERROR(VLOOKUP($A185,Products!$A:$G,2,FALSE),"")</f>
        <v/>
      </c>
      <c r="G185">
        <f>Products!I185</f>
        <v>0</v>
      </c>
      <c r="H185">
        <f>SUMIF(Purchases!H:H,A185,Purchases!M:M)</f>
        <v>0</v>
      </c>
      <c r="I185">
        <f>SUMIF(Sales!E:E,A185,Sales!G:G)</f>
        <v>0</v>
      </c>
      <c r="J185">
        <f>G185+H185-I185</f>
        <v>0</v>
      </c>
      <c r="K185" t="str">
        <f>IF(J185&lt;=Products!J185,"LOW STOCK","OK")</f>
        <v>LOW STOCK</v>
      </c>
    </row>
    <row r="186" spans="1:11" x14ac:dyDescent="0.25">
      <c r="A186">
        <f>Products!A186</f>
        <v>0</v>
      </c>
      <c r="B186" t="str">
        <f>IFERROR(VLOOKUP($A186,Products!$A:$G,2,FALSE),"")</f>
        <v/>
      </c>
      <c r="G186">
        <f>Products!I186</f>
        <v>0</v>
      </c>
      <c r="H186">
        <f>SUMIF(Purchases!H:H,A186,Purchases!M:M)</f>
        <v>0</v>
      </c>
      <c r="I186">
        <f>SUMIF(Sales!E:E,A186,Sales!G:G)</f>
        <v>0</v>
      </c>
      <c r="J186">
        <f>G186+H186-I186</f>
        <v>0</v>
      </c>
      <c r="K186" t="str">
        <f>IF(J186&lt;=Products!J186,"LOW STOCK","OK")</f>
        <v>LOW STOCK</v>
      </c>
    </row>
    <row r="187" spans="1:11" x14ac:dyDescent="0.25">
      <c r="A187">
        <f>Products!A187</f>
        <v>0</v>
      </c>
      <c r="B187" t="str">
        <f>IFERROR(VLOOKUP($A187,Products!$A:$G,2,FALSE),"")</f>
        <v/>
      </c>
      <c r="G187">
        <f>Products!I187</f>
        <v>0</v>
      </c>
      <c r="H187">
        <f>SUMIF(Purchases!H:H,A187,Purchases!M:M)</f>
        <v>0</v>
      </c>
      <c r="I187">
        <f>SUMIF(Sales!E:E,A187,Sales!G:G)</f>
        <v>0</v>
      </c>
      <c r="J187">
        <f>G187+H187-I187</f>
        <v>0</v>
      </c>
      <c r="K187" t="str">
        <f>IF(J187&lt;=Products!J187,"LOW STOCK","OK")</f>
        <v>LOW STOCK</v>
      </c>
    </row>
    <row r="188" spans="1:11" x14ac:dyDescent="0.25">
      <c r="A188">
        <f>Products!A188</f>
        <v>0</v>
      </c>
      <c r="B188" t="str">
        <f>IFERROR(VLOOKUP($A188,Products!$A:$G,2,FALSE),"")</f>
        <v/>
      </c>
      <c r="G188">
        <f>Products!I188</f>
        <v>0</v>
      </c>
      <c r="H188">
        <f>SUMIF(Purchases!H:H,A188,Purchases!M:M)</f>
        <v>0</v>
      </c>
      <c r="I188">
        <f>SUMIF(Sales!E:E,A188,Sales!G:G)</f>
        <v>0</v>
      </c>
      <c r="J188">
        <f>G188+H188-I188</f>
        <v>0</v>
      </c>
      <c r="K188" t="str">
        <f>IF(J188&lt;=Products!J188,"LOW STOCK","OK")</f>
        <v>LOW STOCK</v>
      </c>
    </row>
    <row r="189" spans="1:11" x14ac:dyDescent="0.25">
      <c r="A189">
        <f>Products!A189</f>
        <v>0</v>
      </c>
      <c r="B189" t="str">
        <f>IFERROR(VLOOKUP($A189,Products!$A:$G,2,FALSE),"")</f>
        <v/>
      </c>
      <c r="G189">
        <f>Products!I189</f>
        <v>0</v>
      </c>
      <c r="H189">
        <f>SUMIF(Purchases!H:H,A189,Purchases!M:M)</f>
        <v>0</v>
      </c>
      <c r="I189">
        <f>SUMIF(Sales!E:E,A189,Sales!G:G)</f>
        <v>0</v>
      </c>
      <c r="J189">
        <f>G189+H189-I189</f>
        <v>0</v>
      </c>
      <c r="K189" t="str">
        <f>IF(J189&lt;=Products!J189,"LOW STOCK","OK")</f>
        <v>LOW STOCK</v>
      </c>
    </row>
    <row r="190" spans="1:11" x14ac:dyDescent="0.25">
      <c r="A190">
        <f>Products!A190</f>
        <v>0</v>
      </c>
      <c r="B190" t="str">
        <f>IFERROR(VLOOKUP($A190,Products!$A:$G,2,FALSE),"")</f>
        <v/>
      </c>
      <c r="G190">
        <f>Products!I190</f>
        <v>0</v>
      </c>
      <c r="H190">
        <f>SUMIF(Purchases!H:H,A190,Purchases!M:M)</f>
        <v>0</v>
      </c>
      <c r="I190">
        <f>SUMIF(Sales!E:E,A190,Sales!G:G)</f>
        <v>0</v>
      </c>
      <c r="J190">
        <f>G190+H190-I190</f>
        <v>0</v>
      </c>
      <c r="K190" t="str">
        <f>IF(J190&lt;=Products!J190,"LOW STOCK","OK")</f>
        <v>LOW STOCK</v>
      </c>
    </row>
    <row r="191" spans="1:11" x14ac:dyDescent="0.25">
      <c r="A191">
        <f>Products!A191</f>
        <v>0</v>
      </c>
      <c r="B191" t="str">
        <f>IFERROR(VLOOKUP($A191,Products!$A:$G,2,FALSE),"")</f>
        <v/>
      </c>
      <c r="G191">
        <f>Products!I191</f>
        <v>0</v>
      </c>
      <c r="H191">
        <f>SUMIF(Purchases!H:H,A191,Purchases!M:M)</f>
        <v>0</v>
      </c>
      <c r="I191">
        <f>SUMIF(Sales!E:E,A191,Sales!G:G)</f>
        <v>0</v>
      </c>
      <c r="J191">
        <f>G191+H191-I191</f>
        <v>0</v>
      </c>
      <c r="K191" t="str">
        <f>IF(J191&lt;=Products!J191,"LOW STOCK","OK")</f>
        <v>LOW STOCK</v>
      </c>
    </row>
    <row r="192" spans="1:11" x14ac:dyDescent="0.25">
      <c r="A192">
        <f>Products!A192</f>
        <v>0</v>
      </c>
      <c r="B192" t="str">
        <f>IFERROR(VLOOKUP($A192,Products!$A:$G,2,FALSE),"")</f>
        <v/>
      </c>
      <c r="G192">
        <f>Products!I192</f>
        <v>0</v>
      </c>
      <c r="H192">
        <f>SUMIF(Purchases!H:H,A192,Purchases!M:M)</f>
        <v>0</v>
      </c>
      <c r="I192">
        <f>SUMIF(Sales!E:E,A192,Sales!G:G)</f>
        <v>0</v>
      </c>
      <c r="J192">
        <f>G192+H192-I192</f>
        <v>0</v>
      </c>
      <c r="K192" t="str">
        <f>IF(J192&lt;=Products!J192,"LOW STOCK","OK")</f>
        <v>LOW STOCK</v>
      </c>
    </row>
    <row r="193" spans="1:11" x14ac:dyDescent="0.25">
      <c r="A193">
        <f>Products!A193</f>
        <v>0</v>
      </c>
      <c r="B193" t="str">
        <f>IFERROR(VLOOKUP($A193,Products!$A:$G,2,FALSE),"")</f>
        <v/>
      </c>
      <c r="G193">
        <f>Products!I193</f>
        <v>0</v>
      </c>
      <c r="H193">
        <f>SUMIF(Purchases!H:H,A193,Purchases!M:M)</f>
        <v>0</v>
      </c>
      <c r="I193">
        <f>SUMIF(Sales!E:E,A193,Sales!G:G)</f>
        <v>0</v>
      </c>
      <c r="J193">
        <f>G193+H193-I193</f>
        <v>0</v>
      </c>
      <c r="K193" t="str">
        <f>IF(J193&lt;=Products!J193,"LOW STOCK","OK")</f>
        <v>LOW STOCK</v>
      </c>
    </row>
    <row r="194" spans="1:11" x14ac:dyDescent="0.25">
      <c r="A194">
        <f>Products!A194</f>
        <v>0</v>
      </c>
      <c r="B194" t="str">
        <f>IFERROR(VLOOKUP($A194,Products!$A:$G,2,FALSE),"")</f>
        <v/>
      </c>
      <c r="G194">
        <f>Products!I194</f>
        <v>0</v>
      </c>
      <c r="H194">
        <f>SUMIF(Purchases!H:H,A194,Purchases!M:M)</f>
        <v>0</v>
      </c>
      <c r="I194">
        <f>SUMIF(Sales!E:E,A194,Sales!G:G)</f>
        <v>0</v>
      </c>
      <c r="J194">
        <f>G194+H194-I194</f>
        <v>0</v>
      </c>
      <c r="K194" t="str">
        <f>IF(J194&lt;=Products!J194,"LOW STOCK","OK")</f>
        <v>LOW STOCK</v>
      </c>
    </row>
    <row r="195" spans="1:11" x14ac:dyDescent="0.25">
      <c r="A195">
        <f>Products!A195</f>
        <v>0</v>
      </c>
      <c r="B195" t="str">
        <f>IFERROR(VLOOKUP($A195,Products!$A:$G,2,FALSE),"")</f>
        <v/>
      </c>
      <c r="G195">
        <f>Products!I195</f>
        <v>0</v>
      </c>
      <c r="H195">
        <f>SUMIF(Purchases!H:H,A195,Purchases!M:M)</f>
        <v>0</v>
      </c>
      <c r="I195">
        <f>SUMIF(Sales!E:E,A195,Sales!G:G)</f>
        <v>0</v>
      </c>
      <c r="J195">
        <f>G195+H195-I195</f>
        <v>0</v>
      </c>
      <c r="K195" t="str">
        <f>IF(J195&lt;=Products!J195,"LOW STOCK","OK")</f>
        <v>LOW STOCK</v>
      </c>
    </row>
    <row r="196" spans="1:11" x14ac:dyDescent="0.25">
      <c r="A196">
        <f>Products!A196</f>
        <v>0</v>
      </c>
      <c r="B196" t="str">
        <f>IFERROR(VLOOKUP($A196,Products!$A:$G,2,FALSE),"")</f>
        <v/>
      </c>
      <c r="G196">
        <f>Products!I196</f>
        <v>0</v>
      </c>
      <c r="H196">
        <f>SUMIF(Purchases!H:H,A196,Purchases!M:M)</f>
        <v>0</v>
      </c>
      <c r="I196">
        <f>SUMIF(Sales!E:E,A196,Sales!G:G)</f>
        <v>0</v>
      </c>
      <c r="J196">
        <f>G196+H196-I196</f>
        <v>0</v>
      </c>
      <c r="K196" t="str">
        <f>IF(J196&lt;=Products!J196,"LOW STOCK","OK")</f>
        <v>LOW STOCK</v>
      </c>
    </row>
    <row r="197" spans="1:11" x14ac:dyDescent="0.25">
      <c r="A197">
        <f>Products!A197</f>
        <v>0</v>
      </c>
      <c r="B197" t="str">
        <f>IFERROR(VLOOKUP($A197,Products!$A:$G,2,FALSE),"")</f>
        <v/>
      </c>
      <c r="G197">
        <f>Products!I197</f>
        <v>0</v>
      </c>
      <c r="H197">
        <f>SUMIF(Purchases!H:H,A197,Purchases!M:M)</f>
        <v>0</v>
      </c>
      <c r="I197">
        <f>SUMIF(Sales!E:E,A197,Sales!G:G)</f>
        <v>0</v>
      </c>
      <c r="J197">
        <f>G197+H197-I197</f>
        <v>0</v>
      </c>
      <c r="K197" t="str">
        <f>IF(J197&lt;=Products!J197,"LOW STOCK","OK")</f>
        <v>LOW STOCK</v>
      </c>
    </row>
    <row r="198" spans="1:11" x14ac:dyDescent="0.25">
      <c r="A198">
        <f>Products!A198</f>
        <v>0</v>
      </c>
      <c r="B198" t="str">
        <f>IFERROR(VLOOKUP($A198,Products!$A:$G,2,FALSE),"")</f>
        <v/>
      </c>
      <c r="G198">
        <f>Products!I198</f>
        <v>0</v>
      </c>
      <c r="H198">
        <f>SUMIF(Purchases!H:H,A198,Purchases!M:M)</f>
        <v>0</v>
      </c>
      <c r="I198">
        <f>SUMIF(Sales!E:E,A198,Sales!G:G)</f>
        <v>0</v>
      </c>
      <c r="J198">
        <f>G198+H198-I198</f>
        <v>0</v>
      </c>
      <c r="K198" t="str">
        <f>IF(J198&lt;=Products!J198,"LOW STOCK","OK")</f>
        <v>LOW STOCK</v>
      </c>
    </row>
    <row r="199" spans="1:11" x14ac:dyDescent="0.25">
      <c r="A199">
        <f>Products!A199</f>
        <v>0</v>
      </c>
      <c r="B199" t="str">
        <f>IFERROR(VLOOKUP($A199,Products!$A:$G,2,FALSE),"")</f>
        <v/>
      </c>
      <c r="G199">
        <f>Products!I199</f>
        <v>0</v>
      </c>
      <c r="H199">
        <f>SUMIF(Purchases!H:H,A199,Purchases!M:M)</f>
        <v>0</v>
      </c>
      <c r="I199">
        <f>SUMIF(Sales!E:E,A199,Sales!G:G)</f>
        <v>0</v>
      </c>
      <c r="J199">
        <f>G199+H199-I199</f>
        <v>0</v>
      </c>
      <c r="K199" t="str">
        <f>IF(J199&lt;=Products!J199,"LOW STOCK","OK")</f>
        <v>LOW STOCK</v>
      </c>
    </row>
    <row r="200" spans="1:11" x14ac:dyDescent="0.25">
      <c r="A200">
        <f>Products!A200</f>
        <v>0</v>
      </c>
      <c r="B200" t="str">
        <f>IFERROR(VLOOKUP($A200,Products!$A:$G,2,FALSE),"")</f>
        <v/>
      </c>
      <c r="G200">
        <f>Products!I200</f>
        <v>0</v>
      </c>
      <c r="H200">
        <f>SUMIF(Purchases!H:H,A200,Purchases!M:M)</f>
        <v>0</v>
      </c>
      <c r="I200">
        <f>SUMIF(Sales!E:E,A200,Sales!G:G)</f>
        <v>0</v>
      </c>
      <c r="J200">
        <f>G200+H200-I200</f>
        <v>0</v>
      </c>
      <c r="K200" t="str">
        <f>IF(J200&lt;=Products!J200,"LOW STOCK","OK")</f>
        <v>LOW STOCK</v>
      </c>
    </row>
    <row r="201" spans="1:11" x14ac:dyDescent="0.25">
      <c r="A201">
        <f>Products!A201</f>
        <v>0</v>
      </c>
      <c r="B201" t="str">
        <f>IFERROR(VLOOKUP($A201,Products!$A:$G,2,FALSE),"")</f>
        <v/>
      </c>
      <c r="G201">
        <f>Products!I201</f>
        <v>0</v>
      </c>
      <c r="H201">
        <f>SUMIF(Purchases!H:H,A201,Purchases!M:M)</f>
        <v>0</v>
      </c>
      <c r="I201">
        <f>SUMIF(Sales!E:E,A201,Sales!G:G)</f>
        <v>0</v>
      </c>
      <c r="J201">
        <f>G201+H201-I201</f>
        <v>0</v>
      </c>
      <c r="K201" t="str">
        <f>IF(J201&lt;=Products!J201,"LOW STOCK","OK")</f>
        <v>LOW STOCK</v>
      </c>
    </row>
    <row r="202" spans="1:11" x14ac:dyDescent="0.25">
      <c r="A202">
        <f>Products!A202</f>
        <v>0</v>
      </c>
      <c r="B202" t="str">
        <f>IFERROR(VLOOKUP($A202,Products!$A:$G,2,FALSE),"")</f>
        <v/>
      </c>
      <c r="G202">
        <f>Products!I202</f>
        <v>0</v>
      </c>
      <c r="H202">
        <f>SUMIF(Purchases!H:H,A202,Purchases!M:M)</f>
        <v>0</v>
      </c>
      <c r="I202">
        <f>SUMIF(Sales!E:E,A202,Sales!G:G)</f>
        <v>0</v>
      </c>
      <c r="J202">
        <f>G202+H202-I202</f>
        <v>0</v>
      </c>
      <c r="K202" t="str">
        <f>IF(J202&lt;=Products!J202,"LOW STOCK","OK")</f>
        <v>LOW STOCK</v>
      </c>
    </row>
    <row r="203" spans="1:11" x14ac:dyDescent="0.25">
      <c r="A203">
        <f>Products!A203</f>
        <v>0</v>
      </c>
      <c r="B203" t="str">
        <f>IFERROR(VLOOKUP($A203,Products!$A:$G,2,FALSE),"")</f>
        <v/>
      </c>
      <c r="G203">
        <f>Products!I203</f>
        <v>0</v>
      </c>
      <c r="H203">
        <f>SUMIF(Purchases!H:H,A203,Purchases!M:M)</f>
        <v>0</v>
      </c>
      <c r="I203">
        <f>SUMIF(Sales!E:E,A203,Sales!G:G)</f>
        <v>0</v>
      </c>
      <c r="J203">
        <f>G203+H203-I203</f>
        <v>0</v>
      </c>
      <c r="K203" t="str">
        <f>IF(J203&lt;=Products!J203,"LOW STOCK","OK")</f>
        <v>LOW STOCK</v>
      </c>
    </row>
    <row r="204" spans="1:11" x14ac:dyDescent="0.25">
      <c r="A204">
        <f>Products!A204</f>
        <v>0</v>
      </c>
      <c r="B204" t="str">
        <f>IFERROR(VLOOKUP($A204,Products!$A:$G,2,FALSE),"")</f>
        <v/>
      </c>
      <c r="G204">
        <f>Products!I204</f>
        <v>0</v>
      </c>
      <c r="H204">
        <f>SUMIF(Purchases!H:H,A204,Purchases!M:M)</f>
        <v>0</v>
      </c>
      <c r="I204">
        <f>SUMIF(Sales!E:E,A204,Sales!G:G)</f>
        <v>0</v>
      </c>
      <c r="J204">
        <f>G204+H204-I204</f>
        <v>0</v>
      </c>
      <c r="K204" t="str">
        <f>IF(J204&lt;=Products!J204,"LOW STOCK","OK")</f>
        <v>LOW STOCK</v>
      </c>
    </row>
    <row r="205" spans="1:11" x14ac:dyDescent="0.25">
      <c r="A205">
        <f>Products!A205</f>
        <v>0</v>
      </c>
      <c r="B205" t="str">
        <f>IFERROR(VLOOKUP($A205,Products!$A:$G,2,FALSE),"")</f>
        <v/>
      </c>
      <c r="G205">
        <f>Products!I205</f>
        <v>0</v>
      </c>
      <c r="H205">
        <f>SUMIF(Purchases!H:H,A205,Purchases!M:M)</f>
        <v>0</v>
      </c>
      <c r="I205">
        <f>SUMIF(Sales!E:E,A205,Sales!G:G)</f>
        <v>0</v>
      </c>
      <c r="J205">
        <f>G205+H205-I205</f>
        <v>0</v>
      </c>
      <c r="K205" t="str">
        <f>IF(J205&lt;=Products!J205,"LOW STOCK","OK")</f>
        <v>LOW STOCK</v>
      </c>
    </row>
    <row r="206" spans="1:11" x14ac:dyDescent="0.25">
      <c r="A206">
        <f>Products!A206</f>
        <v>0</v>
      </c>
      <c r="B206" t="str">
        <f>IFERROR(VLOOKUP($A206,Products!$A:$G,2,FALSE),"")</f>
        <v/>
      </c>
      <c r="G206">
        <f>Products!I206</f>
        <v>0</v>
      </c>
      <c r="H206">
        <f>SUMIF(Purchases!H:H,A206,Purchases!M:M)</f>
        <v>0</v>
      </c>
      <c r="I206">
        <f>SUMIF(Sales!E:E,A206,Sales!G:G)</f>
        <v>0</v>
      </c>
      <c r="J206">
        <f>G206+H206-I206</f>
        <v>0</v>
      </c>
      <c r="K206" t="str">
        <f>IF(J206&lt;=Products!J206,"LOW STOCK","OK")</f>
        <v>LOW STOCK</v>
      </c>
    </row>
    <row r="207" spans="1:11" x14ac:dyDescent="0.25">
      <c r="A207">
        <f>Products!A207</f>
        <v>0</v>
      </c>
      <c r="B207" t="str">
        <f>IFERROR(VLOOKUP($A207,Products!$A:$G,2,FALSE),"")</f>
        <v/>
      </c>
      <c r="G207">
        <f>Products!I207</f>
        <v>0</v>
      </c>
      <c r="H207">
        <f>SUMIF(Purchases!H:H,A207,Purchases!M:M)</f>
        <v>0</v>
      </c>
      <c r="I207">
        <f>SUMIF(Sales!E:E,A207,Sales!G:G)</f>
        <v>0</v>
      </c>
      <c r="J207">
        <f>G207+H207-I207</f>
        <v>0</v>
      </c>
      <c r="K207" t="str">
        <f>IF(J207&lt;=Products!J207,"LOW STOCK","OK")</f>
        <v>LOW STOCK</v>
      </c>
    </row>
    <row r="208" spans="1:11" x14ac:dyDescent="0.25">
      <c r="A208">
        <f>Products!A208</f>
        <v>0</v>
      </c>
      <c r="B208" t="str">
        <f>IFERROR(VLOOKUP($A208,Products!$A:$G,2,FALSE),"")</f>
        <v/>
      </c>
      <c r="G208">
        <f>Products!I208</f>
        <v>0</v>
      </c>
      <c r="H208">
        <f>SUMIF(Purchases!H:H,A208,Purchases!M:M)</f>
        <v>0</v>
      </c>
      <c r="I208">
        <f>SUMIF(Sales!E:E,A208,Sales!G:G)</f>
        <v>0</v>
      </c>
      <c r="J208">
        <f>G208+H208-I208</f>
        <v>0</v>
      </c>
      <c r="K208" t="str">
        <f>IF(J208&lt;=Products!J208,"LOW STOCK","OK")</f>
        <v>LOW STOCK</v>
      </c>
    </row>
    <row r="209" spans="1:11" x14ac:dyDescent="0.25">
      <c r="A209">
        <f>Products!A209</f>
        <v>0</v>
      </c>
      <c r="B209" t="str">
        <f>IFERROR(VLOOKUP($A209,Products!$A:$G,2,FALSE),"")</f>
        <v/>
      </c>
      <c r="G209">
        <f>Products!I209</f>
        <v>0</v>
      </c>
      <c r="H209">
        <f>SUMIF(Purchases!H:H,A209,Purchases!M:M)</f>
        <v>0</v>
      </c>
      <c r="I209">
        <f>SUMIF(Sales!E:E,A209,Sales!G:G)</f>
        <v>0</v>
      </c>
      <c r="J209">
        <f>G209+H209-I209</f>
        <v>0</v>
      </c>
      <c r="K209" t="str">
        <f>IF(J209&lt;=Products!J209,"LOW STOCK","OK")</f>
        <v>LOW STOCK</v>
      </c>
    </row>
    <row r="210" spans="1:11" x14ac:dyDescent="0.25">
      <c r="A210">
        <f>Products!A210</f>
        <v>0</v>
      </c>
      <c r="B210" t="str">
        <f>IFERROR(VLOOKUP($A210,Products!$A:$G,2,FALSE),"")</f>
        <v/>
      </c>
      <c r="G210">
        <f>Products!I210</f>
        <v>0</v>
      </c>
      <c r="H210">
        <f>SUMIF(Purchases!H:H,A210,Purchases!M:M)</f>
        <v>0</v>
      </c>
      <c r="I210">
        <f>SUMIF(Sales!E:E,A210,Sales!G:G)</f>
        <v>0</v>
      </c>
      <c r="J210">
        <f>G210+H210-I210</f>
        <v>0</v>
      </c>
      <c r="K210" t="str">
        <f>IF(J210&lt;=Products!J210,"LOW STOCK","OK")</f>
        <v>LOW STOCK</v>
      </c>
    </row>
    <row r="211" spans="1:11" x14ac:dyDescent="0.25">
      <c r="A211">
        <f>Products!A211</f>
        <v>0</v>
      </c>
      <c r="B211" t="str">
        <f>IFERROR(VLOOKUP($A211,Products!$A:$G,2,FALSE),"")</f>
        <v/>
      </c>
      <c r="G211">
        <f>Products!I211</f>
        <v>0</v>
      </c>
      <c r="H211">
        <f>SUMIF(Purchases!H:H,A211,Purchases!M:M)</f>
        <v>0</v>
      </c>
      <c r="I211">
        <f>SUMIF(Sales!E:E,A211,Sales!G:G)</f>
        <v>0</v>
      </c>
      <c r="J211">
        <f>G211+H211-I211</f>
        <v>0</v>
      </c>
      <c r="K211" t="str">
        <f>IF(J211&lt;=Products!J211,"LOW STOCK","OK")</f>
        <v>LOW STOCK</v>
      </c>
    </row>
    <row r="212" spans="1:11" x14ac:dyDescent="0.25">
      <c r="A212">
        <f>Products!A212</f>
        <v>0</v>
      </c>
      <c r="B212" t="str">
        <f>IFERROR(VLOOKUP($A212,Products!$A:$G,2,FALSE),"")</f>
        <v/>
      </c>
      <c r="G212">
        <f>Products!I212</f>
        <v>0</v>
      </c>
      <c r="H212">
        <f>SUMIF(Purchases!H:H,A212,Purchases!M:M)</f>
        <v>0</v>
      </c>
      <c r="I212">
        <f>SUMIF(Sales!E:E,A212,Sales!G:G)</f>
        <v>0</v>
      </c>
      <c r="J212">
        <f>G212+H212-I212</f>
        <v>0</v>
      </c>
      <c r="K212" t="str">
        <f>IF(J212&lt;=Products!J212,"LOW STOCK","OK")</f>
        <v>LOW STOCK</v>
      </c>
    </row>
    <row r="213" spans="1:11" x14ac:dyDescent="0.25">
      <c r="A213">
        <f>Products!A213</f>
        <v>0</v>
      </c>
      <c r="B213" t="str">
        <f>IFERROR(VLOOKUP($A213,Products!$A:$G,2,FALSE),"")</f>
        <v/>
      </c>
      <c r="G213">
        <f>Products!I213</f>
        <v>0</v>
      </c>
      <c r="H213">
        <f>SUMIF(Purchases!H:H,A213,Purchases!M:M)</f>
        <v>0</v>
      </c>
      <c r="I213">
        <f>SUMIF(Sales!E:E,A213,Sales!G:G)</f>
        <v>0</v>
      </c>
      <c r="J213">
        <f>G213+H213-I213</f>
        <v>0</v>
      </c>
      <c r="K213" t="str">
        <f>IF(J213&lt;=Products!J213,"LOW STOCK","OK")</f>
        <v>LOW STOCK</v>
      </c>
    </row>
    <row r="214" spans="1:11" x14ac:dyDescent="0.25">
      <c r="A214">
        <f>Products!A214</f>
        <v>0</v>
      </c>
      <c r="B214" t="str">
        <f>IFERROR(VLOOKUP($A214,Products!$A:$G,2,FALSE),"")</f>
        <v/>
      </c>
      <c r="G214">
        <f>Products!I214</f>
        <v>0</v>
      </c>
      <c r="H214">
        <f>SUMIF(Purchases!H:H,A214,Purchases!M:M)</f>
        <v>0</v>
      </c>
      <c r="I214">
        <f>SUMIF(Sales!E:E,A214,Sales!G:G)</f>
        <v>0</v>
      </c>
      <c r="J214">
        <f>G214+H214-I214</f>
        <v>0</v>
      </c>
      <c r="K214" t="str">
        <f>IF(J214&lt;=Products!J214,"LOW STOCK","OK")</f>
        <v>LOW STOCK</v>
      </c>
    </row>
    <row r="215" spans="1:11" x14ac:dyDescent="0.25">
      <c r="A215">
        <f>Products!A215</f>
        <v>0</v>
      </c>
      <c r="B215" t="str">
        <f>IFERROR(VLOOKUP($A215,Products!$A:$G,2,FALSE),"")</f>
        <v/>
      </c>
      <c r="G215">
        <f>Products!I215</f>
        <v>0</v>
      </c>
      <c r="H215">
        <f>SUMIF(Purchases!H:H,A215,Purchases!M:M)</f>
        <v>0</v>
      </c>
      <c r="I215">
        <f>SUMIF(Sales!E:E,A215,Sales!G:G)</f>
        <v>0</v>
      </c>
      <c r="J215">
        <f>G215+H215-I215</f>
        <v>0</v>
      </c>
      <c r="K215" t="str">
        <f>IF(J215&lt;=Products!J215,"LOW STOCK","OK")</f>
        <v>LOW STOCK</v>
      </c>
    </row>
    <row r="216" spans="1:11" x14ac:dyDescent="0.25">
      <c r="A216">
        <f>Products!A216</f>
        <v>0</v>
      </c>
      <c r="B216" t="str">
        <f>IFERROR(VLOOKUP($A216,Products!$A:$G,2,FALSE),"")</f>
        <v/>
      </c>
      <c r="G216">
        <f>Products!I216</f>
        <v>0</v>
      </c>
      <c r="H216">
        <f>SUMIF(Purchases!H:H,A216,Purchases!M:M)</f>
        <v>0</v>
      </c>
      <c r="I216">
        <f>SUMIF(Sales!E:E,A216,Sales!G:G)</f>
        <v>0</v>
      </c>
      <c r="J216">
        <f>G216+H216-I216</f>
        <v>0</v>
      </c>
      <c r="K216" t="str">
        <f>IF(J216&lt;=Products!J216,"LOW STOCK","OK")</f>
        <v>LOW STOCK</v>
      </c>
    </row>
    <row r="217" spans="1:11" x14ac:dyDescent="0.25">
      <c r="A217">
        <f>Products!A217</f>
        <v>0</v>
      </c>
      <c r="B217" t="str">
        <f>IFERROR(VLOOKUP($A217,Products!$A:$G,2,FALSE),"")</f>
        <v/>
      </c>
      <c r="G217">
        <f>Products!I217</f>
        <v>0</v>
      </c>
      <c r="H217">
        <f>SUMIF(Purchases!H:H,A217,Purchases!M:M)</f>
        <v>0</v>
      </c>
      <c r="I217">
        <f>SUMIF(Sales!E:E,A217,Sales!G:G)</f>
        <v>0</v>
      </c>
      <c r="J217">
        <f>G217+H217-I217</f>
        <v>0</v>
      </c>
      <c r="K217" t="str">
        <f>IF(J217&lt;=Products!J217,"LOW STOCK","OK")</f>
        <v>LOW STOCK</v>
      </c>
    </row>
    <row r="218" spans="1:11" x14ac:dyDescent="0.25">
      <c r="A218">
        <f>Products!A218</f>
        <v>0</v>
      </c>
      <c r="B218" t="str">
        <f>IFERROR(VLOOKUP($A218,Products!$A:$G,2,FALSE),"")</f>
        <v/>
      </c>
      <c r="G218">
        <f>Products!I218</f>
        <v>0</v>
      </c>
      <c r="H218">
        <f>SUMIF(Purchases!H:H,A218,Purchases!M:M)</f>
        <v>0</v>
      </c>
      <c r="I218">
        <f>SUMIF(Sales!E:E,A218,Sales!G:G)</f>
        <v>0</v>
      </c>
      <c r="J218">
        <f>G218+H218-I218</f>
        <v>0</v>
      </c>
      <c r="K218" t="str">
        <f>IF(J218&lt;=Products!J218,"LOW STOCK","OK")</f>
        <v>LOW STOCK</v>
      </c>
    </row>
    <row r="219" spans="1:11" x14ac:dyDescent="0.25">
      <c r="A219">
        <f>Products!A219</f>
        <v>0</v>
      </c>
      <c r="B219" t="str">
        <f>IFERROR(VLOOKUP($A219,Products!$A:$G,2,FALSE),"")</f>
        <v/>
      </c>
      <c r="G219">
        <f>Products!I219</f>
        <v>0</v>
      </c>
      <c r="H219">
        <f>SUMIF(Purchases!H:H,A219,Purchases!M:M)</f>
        <v>0</v>
      </c>
      <c r="I219">
        <f>SUMIF(Sales!E:E,A219,Sales!G:G)</f>
        <v>0</v>
      </c>
      <c r="J219">
        <f>G219+H219-I219</f>
        <v>0</v>
      </c>
      <c r="K219" t="str">
        <f>IF(J219&lt;=Products!J219,"LOW STOCK","OK")</f>
        <v>LOW STOCK</v>
      </c>
    </row>
    <row r="220" spans="1:11" x14ac:dyDescent="0.25">
      <c r="A220">
        <f>Products!A220</f>
        <v>0</v>
      </c>
      <c r="B220" t="str">
        <f>IFERROR(VLOOKUP($A220,Products!$A:$G,2,FALSE),"")</f>
        <v/>
      </c>
      <c r="G220">
        <f>Products!I220</f>
        <v>0</v>
      </c>
      <c r="H220">
        <f>SUMIF(Purchases!H:H,A220,Purchases!M:M)</f>
        <v>0</v>
      </c>
      <c r="I220">
        <f>SUMIF(Sales!E:E,A220,Sales!G:G)</f>
        <v>0</v>
      </c>
      <c r="J220">
        <f>G220+H220-I220</f>
        <v>0</v>
      </c>
      <c r="K220" t="str">
        <f>IF(J220&lt;=Products!J220,"LOW STOCK","OK")</f>
        <v>LOW STOCK</v>
      </c>
    </row>
    <row r="221" spans="1:11" x14ac:dyDescent="0.25">
      <c r="A221">
        <f>Products!A221</f>
        <v>0</v>
      </c>
      <c r="B221" t="str">
        <f>IFERROR(VLOOKUP($A221,Products!$A:$G,2,FALSE),"")</f>
        <v/>
      </c>
      <c r="G221">
        <f>Products!I221</f>
        <v>0</v>
      </c>
      <c r="H221">
        <f>SUMIF(Purchases!H:H,A221,Purchases!M:M)</f>
        <v>0</v>
      </c>
      <c r="I221">
        <f>SUMIF(Sales!E:E,A221,Sales!G:G)</f>
        <v>0</v>
      </c>
      <c r="J221">
        <f>G221+H221-I221</f>
        <v>0</v>
      </c>
      <c r="K221" t="str">
        <f>IF(J221&lt;=Products!J221,"LOW STOCK","OK")</f>
        <v>LOW STOCK</v>
      </c>
    </row>
    <row r="222" spans="1:11" x14ac:dyDescent="0.25">
      <c r="A222">
        <f>Products!A222</f>
        <v>0</v>
      </c>
      <c r="B222" t="str">
        <f>IFERROR(VLOOKUP($A222,Products!$A:$G,2,FALSE),"")</f>
        <v/>
      </c>
      <c r="G222">
        <f>Products!I222</f>
        <v>0</v>
      </c>
      <c r="H222">
        <f>SUMIF(Purchases!H:H,A222,Purchases!M:M)</f>
        <v>0</v>
      </c>
      <c r="I222">
        <f>SUMIF(Sales!E:E,A222,Sales!G:G)</f>
        <v>0</v>
      </c>
      <c r="J222">
        <f>G222+H222-I222</f>
        <v>0</v>
      </c>
      <c r="K222" t="str">
        <f>IF(J222&lt;=Products!J222,"LOW STOCK","OK")</f>
        <v>LOW STOCK</v>
      </c>
    </row>
    <row r="223" spans="1:11" x14ac:dyDescent="0.25">
      <c r="A223">
        <f>Products!A223</f>
        <v>0</v>
      </c>
      <c r="B223" t="str">
        <f>IFERROR(VLOOKUP($A223,Products!$A:$G,2,FALSE),"")</f>
        <v/>
      </c>
      <c r="G223">
        <f>Products!I223</f>
        <v>0</v>
      </c>
      <c r="H223">
        <f>SUMIF(Purchases!H:H,A223,Purchases!M:M)</f>
        <v>0</v>
      </c>
      <c r="I223">
        <f>SUMIF(Sales!E:E,A223,Sales!G:G)</f>
        <v>0</v>
      </c>
      <c r="J223">
        <f>G223+H223-I223</f>
        <v>0</v>
      </c>
      <c r="K223" t="str">
        <f>IF(J223&lt;=Products!J223,"LOW STOCK","OK")</f>
        <v>LOW STOCK</v>
      </c>
    </row>
    <row r="224" spans="1:11" x14ac:dyDescent="0.25">
      <c r="A224">
        <f>Products!A224</f>
        <v>0</v>
      </c>
      <c r="B224" t="str">
        <f>IFERROR(VLOOKUP($A224,Products!$A:$G,2,FALSE),"")</f>
        <v/>
      </c>
      <c r="G224">
        <f>Products!I224</f>
        <v>0</v>
      </c>
      <c r="H224">
        <f>SUMIF(Purchases!H:H,A224,Purchases!M:M)</f>
        <v>0</v>
      </c>
      <c r="I224">
        <f>SUMIF(Sales!E:E,A224,Sales!G:G)</f>
        <v>0</v>
      </c>
      <c r="J224">
        <f>G224+H224-I224</f>
        <v>0</v>
      </c>
      <c r="K224" t="str">
        <f>IF(J224&lt;=Products!J224,"LOW STOCK","OK")</f>
        <v>LOW STOCK</v>
      </c>
    </row>
    <row r="225" spans="1:11" x14ac:dyDescent="0.25">
      <c r="A225">
        <f>Products!A225</f>
        <v>0</v>
      </c>
      <c r="B225" t="str">
        <f>IFERROR(VLOOKUP($A225,Products!$A:$G,2,FALSE),"")</f>
        <v/>
      </c>
      <c r="G225">
        <f>Products!I225</f>
        <v>0</v>
      </c>
      <c r="H225">
        <f>SUMIF(Purchases!H:H,A225,Purchases!M:M)</f>
        <v>0</v>
      </c>
      <c r="I225">
        <f>SUMIF(Sales!E:E,A225,Sales!G:G)</f>
        <v>0</v>
      </c>
      <c r="J225">
        <f>G225+H225-I225</f>
        <v>0</v>
      </c>
      <c r="K225" t="str">
        <f>IF(J225&lt;=Products!J225,"LOW STOCK","OK")</f>
        <v>LOW STOCK</v>
      </c>
    </row>
    <row r="226" spans="1:11" x14ac:dyDescent="0.25">
      <c r="A226">
        <f>Products!A226</f>
        <v>0</v>
      </c>
      <c r="B226" t="str">
        <f>IFERROR(VLOOKUP($A226,Products!$A:$G,2,FALSE),"")</f>
        <v/>
      </c>
      <c r="G226">
        <f>Products!I226</f>
        <v>0</v>
      </c>
      <c r="H226">
        <f>SUMIF(Purchases!H:H,A226,Purchases!M:M)</f>
        <v>0</v>
      </c>
      <c r="I226">
        <f>SUMIF(Sales!E:E,A226,Sales!G:G)</f>
        <v>0</v>
      </c>
      <c r="J226">
        <f>G226+H226-I226</f>
        <v>0</v>
      </c>
      <c r="K226" t="str">
        <f>IF(J226&lt;=Products!J226,"LOW STOCK","OK")</f>
        <v>LOW STOCK</v>
      </c>
    </row>
    <row r="227" spans="1:11" x14ac:dyDescent="0.25">
      <c r="A227">
        <f>Products!A227</f>
        <v>0</v>
      </c>
      <c r="B227" t="str">
        <f>IFERROR(VLOOKUP($A227,Products!$A:$G,2,FALSE),"")</f>
        <v/>
      </c>
      <c r="G227">
        <f>Products!I227</f>
        <v>0</v>
      </c>
      <c r="H227">
        <f>SUMIF(Purchases!H:H,A227,Purchases!M:M)</f>
        <v>0</v>
      </c>
      <c r="I227">
        <f>SUMIF(Sales!E:E,A227,Sales!G:G)</f>
        <v>0</v>
      </c>
      <c r="J227">
        <f>G227+H227-I227</f>
        <v>0</v>
      </c>
      <c r="K227" t="str">
        <f>IF(J227&lt;=Products!J227,"LOW STOCK","OK")</f>
        <v>LOW STOCK</v>
      </c>
    </row>
    <row r="228" spans="1:11" x14ac:dyDescent="0.25">
      <c r="A228">
        <f>Products!A228</f>
        <v>0</v>
      </c>
      <c r="B228" t="str">
        <f>IFERROR(VLOOKUP($A228,Products!$A:$G,2,FALSE),"")</f>
        <v/>
      </c>
      <c r="G228">
        <f>Products!I228</f>
        <v>0</v>
      </c>
      <c r="H228">
        <f>SUMIF(Purchases!H:H,A228,Purchases!M:M)</f>
        <v>0</v>
      </c>
      <c r="I228">
        <f>SUMIF(Sales!E:E,A228,Sales!G:G)</f>
        <v>0</v>
      </c>
      <c r="J228">
        <f>G228+H228-I228</f>
        <v>0</v>
      </c>
      <c r="K228" t="str">
        <f>IF(J228&lt;=Products!J228,"LOW STOCK","OK")</f>
        <v>LOW STOCK</v>
      </c>
    </row>
    <row r="229" spans="1:11" x14ac:dyDescent="0.25">
      <c r="A229">
        <f>Products!A229</f>
        <v>0</v>
      </c>
      <c r="B229" t="str">
        <f>IFERROR(VLOOKUP($A229,Products!$A:$G,2,FALSE),"")</f>
        <v/>
      </c>
      <c r="G229">
        <f>Products!I229</f>
        <v>0</v>
      </c>
      <c r="H229">
        <f>SUMIF(Purchases!H:H,A229,Purchases!M:M)</f>
        <v>0</v>
      </c>
      <c r="I229">
        <f>SUMIF(Sales!E:E,A229,Sales!G:G)</f>
        <v>0</v>
      </c>
      <c r="J229">
        <f>G229+H229-I229</f>
        <v>0</v>
      </c>
      <c r="K229" t="str">
        <f>IF(J229&lt;=Products!J229,"LOW STOCK","OK")</f>
        <v>LOW STOCK</v>
      </c>
    </row>
    <row r="230" spans="1:11" x14ac:dyDescent="0.25">
      <c r="A230">
        <f>Products!A230</f>
        <v>0</v>
      </c>
      <c r="B230" t="str">
        <f>IFERROR(VLOOKUP($A230,Products!$A:$G,2,FALSE),"")</f>
        <v/>
      </c>
      <c r="G230">
        <f>Products!I230</f>
        <v>0</v>
      </c>
      <c r="H230">
        <f>SUMIF(Purchases!H:H,A230,Purchases!M:M)</f>
        <v>0</v>
      </c>
      <c r="I230">
        <f>SUMIF(Sales!E:E,A230,Sales!G:G)</f>
        <v>0</v>
      </c>
      <c r="J230">
        <f>G230+H230-I230</f>
        <v>0</v>
      </c>
      <c r="K230" t="str">
        <f>IF(J230&lt;=Products!J230,"LOW STOCK","OK")</f>
        <v>LOW STOCK</v>
      </c>
    </row>
    <row r="231" spans="1:11" x14ac:dyDescent="0.25">
      <c r="A231">
        <f>Products!A231</f>
        <v>0</v>
      </c>
      <c r="B231" t="str">
        <f>IFERROR(VLOOKUP($A231,Products!$A:$G,2,FALSE),"")</f>
        <v/>
      </c>
      <c r="G231">
        <f>Products!I231</f>
        <v>0</v>
      </c>
      <c r="H231">
        <f>SUMIF(Purchases!H:H,A231,Purchases!M:M)</f>
        <v>0</v>
      </c>
      <c r="I231">
        <f>SUMIF(Sales!E:E,A231,Sales!G:G)</f>
        <v>0</v>
      </c>
      <c r="J231">
        <f>G231+H231-I231</f>
        <v>0</v>
      </c>
      <c r="K231" t="str">
        <f>IF(J231&lt;=Products!J231,"LOW STOCK","OK")</f>
        <v>LOW STOCK</v>
      </c>
    </row>
    <row r="232" spans="1:11" x14ac:dyDescent="0.25">
      <c r="A232">
        <f>Products!A232</f>
        <v>0</v>
      </c>
      <c r="B232" t="str">
        <f>IFERROR(VLOOKUP($A232,Products!$A:$G,2,FALSE),"")</f>
        <v/>
      </c>
      <c r="G232">
        <f>Products!I232</f>
        <v>0</v>
      </c>
      <c r="H232">
        <f>SUMIF(Purchases!H:H,A232,Purchases!M:M)</f>
        <v>0</v>
      </c>
      <c r="I232">
        <f>SUMIF(Sales!E:E,A232,Sales!G:G)</f>
        <v>0</v>
      </c>
      <c r="J232">
        <f>G232+H232-I232</f>
        <v>0</v>
      </c>
      <c r="K232" t="str">
        <f>IF(J232&lt;=Products!J232,"LOW STOCK","OK")</f>
        <v>LOW STOCK</v>
      </c>
    </row>
    <row r="233" spans="1:11" x14ac:dyDescent="0.25">
      <c r="A233">
        <f>Products!A233</f>
        <v>0</v>
      </c>
      <c r="B233" t="str">
        <f>IFERROR(VLOOKUP($A233,Products!$A:$G,2,FALSE),"")</f>
        <v/>
      </c>
      <c r="G233">
        <f>Products!I233</f>
        <v>0</v>
      </c>
      <c r="H233">
        <f>SUMIF(Purchases!H:H,A233,Purchases!M:M)</f>
        <v>0</v>
      </c>
      <c r="I233">
        <f>SUMIF(Sales!E:E,A233,Sales!G:G)</f>
        <v>0</v>
      </c>
      <c r="J233">
        <f>G233+H233-I233</f>
        <v>0</v>
      </c>
      <c r="K233" t="str">
        <f>IF(J233&lt;=Products!J233,"LOW STOCK","OK")</f>
        <v>LOW STOCK</v>
      </c>
    </row>
    <row r="234" spans="1:11" x14ac:dyDescent="0.25">
      <c r="A234">
        <f>Products!A234</f>
        <v>0</v>
      </c>
      <c r="B234" t="str">
        <f>IFERROR(VLOOKUP($A234,Products!$A:$G,2,FALSE),"")</f>
        <v/>
      </c>
      <c r="G234">
        <f>Products!I234</f>
        <v>0</v>
      </c>
      <c r="H234">
        <f>SUMIF(Purchases!H:H,A234,Purchases!M:M)</f>
        <v>0</v>
      </c>
      <c r="I234">
        <f>SUMIF(Sales!E:E,A234,Sales!G:G)</f>
        <v>0</v>
      </c>
      <c r="J234">
        <f>G234+H234-I234</f>
        <v>0</v>
      </c>
      <c r="K234" t="str">
        <f>IF(J234&lt;=Products!J234,"LOW STOCK","OK")</f>
        <v>LOW STOCK</v>
      </c>
    </row>
    <row r="235" spans="1:11" x14ac:dyDescent="0.25">
      <c r="A235">
        <f>Products!A235</f>
        <v>0</v>
      </c>
      <c r="B235" t="str">
        <f>IFERROR(VLOOKUP($A235,Products!$A:$G,2,FALSE),"")</f>
        <v/>
      </c>
      <c r="G235">
        <f>Products!I235</f>
        <v>0</v>
      </c>
      <c r="H235">
        <f>SUMIF(Purchases!H:H,A235,Purchases!M:M)</f>
        <v>0</v>
      </c>
      <c r="I235">
        <f>SUMIF(Sales!E:E,A235,Sales!G:G)</f>
        <v>0</v>
      </c>
      <c r="J235">
        <f>G235+H235-I235</f>
        <v>0</v>
      </c>
      <c r="K235" t="str">
        <f>IF(J235&lt;=Products!J235,"LOW STOCK","OK")</f>
        <v>LOW STOCK</v>
      </c>
    </row>
    <row r="236" spans="1:11" x14ac:dyDescent="0.25">
      <c r="A236">
        <f>Products!A236</f>
        <v>0</v>
      </c>
      <c r="B236" t="str">
        <f>IFERROR(VLOOKUP($A236,Products!$A:$G,2,FALSE),"")</f>
        <v/>
      </c>
      <c r="G236">
        <f>Products!I236</f>
        <v>0</v>
      </c>
      <c r="H236">
        <f>SUMIF(Purchases!H:H,A236,Purchases!M:M)</f>
        <v>0</v>
      </c>
      <c r="I236">
        <f>SUMIF(Sales!E:E,A236,Sales!G:G)</f>
        <v>0</v>
      </c>
      <c r="J236">
        <f>G236+H236-I236</f>
        <v>0</v>
      </c>
      <c r="K236" t="str">
        <f>IF(J236&lt;=Products!J236,"LOW STOCK","OK")</f>
        <v>LOW STOCK</v>
      </c>
    </row>
    <row r="237" spans="1:11" x14ac:dyDescent="0.25">
      <c r="A237">
        <f>Products!A237</f>
        <v>0</v>
      </c>
      <c r="B237" t="str">
        <f>IFERROR(VLOOKUP($A237,Products!$A:$G,2,FALSE),"")</f>
        <v/>
      </c>
      <c r="G237">
        <f>Products!I237</f>
        <v>0</v>
      </c>
      <c r="H237">
        <f>SUMIF(Purchases!H:H,A237,Purchases!M:M)</f>
        <v>0</v>
      </c>
      <c r="I237">
        <f>SUMIF(Sales!E:E,A237,Sales!G:G)</f>
        <v>0</v>
      </c>
      <c r="J237">
        <f>G237+H237-I237</f>
        <v>0</v>
      </c>
      <c r="K237" t="str">
        <f>IF(J237&lt;=Products!J237,"LOW STOCK","OK")</f>
        <v>LOW STOCK</v>
      </c>
    </row>
    <row r="238" spans="1:11" x14ac:dyDescent="0.25">
      <c r="A238">
        <f>Products!A238</f>
        <v>0</v>
      </c>
      <c r="B238" t="str">
        <f>IFERROR(VLOOKUP($A238,Products!$A:$G,2,FALSE),"")</f>
        <v/>
      </c>
      <c r="G238">
        <f>Products!I238</f>
        <v>0</v>
      </c>
      <c r="H238">
        <f>SUMIF(Purchases!H:H,A238,Purchases!M:M)</f>
        <v>0</v>
      </c>
      <c r="I238">
        <f>SUMIF(Sales!E:E,A238,Sales!G:G)</f>
        <v>0</v>
      </c>
      <c r="J238">
        <f>G238+H238-I238</f>
        <v>0</v>
      </c>
      <c r="K238" t="str">
        <f>IF(J238&lt;=Products!J238,"LOW STOCK","OK")</f>
        <v>LOW STOCK</v>
      </c>
    </row>
    <row r="239" spans="1:11" x14ac:dyDescent="0.25">
      <c r="A239">
        <f>Products!A239</f>
        <v>0</v>
      </c>
      <c r="B239" t="str">
        <f>IFERROR(VLOOKUP($A239,Products!$A:$G,2,FALSE),"")</f>
        <v/>
      </c>
      <c r="G239">
        <f>Products!I239</f>
        <v>0</v>
      </c>
      <c r="H239">
        <f>SUMIF(Purchases!H:H,A239,Purchases!M:M)</f>
        <v>0</v>
      </c>
      <c r="I239">
        <f>SUMIF(Sales!E:E,A239,Sales!G:G)</f>
        <v>0</v>
      </c>
      <c r="J239">
        <f>G239+H239-I239</f>
        <v>0</v>
      </c>
      <c r="K239" t="str">
        <f>IF(J239&lt;=Products!J239,"LOW STOCK","OK")</f>
        <v>LOW STOCK</v>
      </c>
    </row>
    <row r="240" spans="1:11" x14ac:dyDescent="0.25">
      <c r="A240">
        <f>Products!A240</f>
        <v>0</v>
      </c>
      <c r="B240" t="str">
        <f>IFERROR(VLOOKUP($A240,Products!$A:$G,2,FALSE),"")</f>
        <v/>
      </c>
      <c r="G240">
        <f>Products!I240</f>
        <v>0</v>
      </c>
      <c r="H240">
        <f>SUMIF(Purchases!H:H,A240,Purchases!M:M)</f>
        <v>0</v>
      </c>
      <c r="I240">
        <f>SUMIF(Sales!E:E,A240,Sales!G:G)</f>
        <v>0</v>
      </c>
      <c r="J240">
        <f>G240+H240-I240</f>
        <v>0</v>
      </c>
      <c r="K240" t="str">
        <f>IF(J240&lt;=Products!J240,"LOW STOCK","OK")</f>
        <v>LOW STOCK</v>
      </c>
    </row>
    <row r="241" spans="1:11" x14ac:dyDescent="0.25">
      <c r="A241">
        <f>Products!A241</f>
        <v>0</v>
      </c>
      <c r="B241" t="str">
        <f>IFERROR(VLOOKUP($A241,Products!$A:$G,2,FALSE),"")</f>
        <v/>
      </c>
      <c r="G241">
        <f>Products!I241</f>
        <v>0</v>
      </c>
      <c r="H241">
        <f>SUMIF(Purchases!H:H,A241,Purchases!M:M)</f>
        <v>0</v>
      </c>
      <c r="I241">
        <f>SUMIF(Sales!E:E,A241,Sales!G:G)</f>
        <v>0</v>
      </c>
      <c r="J241">
        <f>G241+H241-I241</f>
        <v>0</v>
      </c>
      <c r="K241" t="str">
        <f>IF(J241&lt;=Products!J241,"LOW STOCK","OK")</f>
        <v>LOW STOCK</v>
      </c>
    </row>
    <row r="242" spans="1:11" x14ac:dyDescent="0.25">
      <c r="A242">
        <f>Products!A242</f>
        <v>0</v>
      </c>
      <c r="B242" t="str">
        <f>IFERROR(VLOOKUP($A242,Products!$A:$G,2,FALSE),"")</f>
        <v/>
      </c>
      <c r="G242">
        <f>Products!I242</f>
        <v>0</v>
      </c>
      <c r="H242">
        <f>SUMIF(Purchases!H:H,A242,Purchases!M:M)</f>
        <v>0</v>
      </c>
      <c r="I242">
        <f>SUMIF(Sales!E:E,A242,Sales!G:G)</f>
        <v>0</v>
      </c>
      <c r="J242">
        <f>G242+H242-I242</f>
        <v>0</v>
      </c>
      <c r="K242" t="str">
        <f>IF(J242&lt;=Products!J242,"LOW STOCK","OK")</f>
        <v>LOW STOCK</v>
      </c>
    </row>
    <row r="243" spans="1:11" x14ac:dyDescent="0.25">
      <c r="A243">
        <f>Products!A243</f>
        <v>0</v>
      </c>
      <c r="B243" t="str">
        <f>IFERROR(VLOOKUP($A243,Products!$A:$G,2,FALSE),"")</f>
        <v/>
      </c>
      <c r="G243">
        <f>Products!I243</f>
        <v>0</v>
      </c>
      <c r="H243">
        <f>SUMIF(Purchases!H:H,A243,Purchases!M:M)</f>
        <v>0</v>
      </c>
      <c r="I243">
        <f>SUMIF(Sales!E:E,A243,Sales!G:G)</f>
        <v>0</v>
      </c>
      <c r="J243">
        <f>G243+H243-I243</f>
        <v>0</v>
      </c>
      <c r="K243" t="str">
        <f>IF(J243&lt;=Products!J243,"LOW STOCK","OK")</f>
        <v>LOW STOCK</v>
      </c>
    </row>
    <row r="244" spans="1:11" x14ac:dyDescent="0.25">
      <c r="A244">
        <f>Products!A244</f>
        <v>0</v>
      </c>
      <c r="B244" t="str">
        <f>IFERROR(VLOOKUP($A244,Products!$A:$G,2,FALSE),"")</f>
        <v/>
      </c>
      <c r="G244">
        <f>Products!I244</f>
        <v>0</v>
      </c>
      <c r="H244">
        <f>SUMIF(Purchases!H:H,A244,Purchases!M:M)</f>
        <v>0</v>
      </c>
      <c r="I244">
        <f>SUMIF(Sales!E:E,A244,Sales!G:G)</f>
        <v>0</v>
      </c>
      <c r="J244">
        <f>G244+H244-I244</f>
        <v>0</v>
      </c>
      <c r="K244" t="str">
        <f>IF(J244&lt;=Products!J244,"LOW STOCK","OK")</f>
        <v>LOW STOCK</v>
      </c>
    </row>
    <row r="245" spans="1:11" x14ac:dyDescent="0.25">
      <c r="A245">
        <f>Products!A245</f>
        <v>0</v>
      </c>
      <c r="B245" t="str">
        <f>IFERROR(VLOOKUP($A245,Products!$A:$G,2,FALSE),"")</f>
        <v/>
      </c>
      <c r="G245">
        <f>Products!I245</f>
        <v>0</v>
      </c>
      <c r="H245">
        <f>SUMIF(Purchases!H:H,A245,Purchases!M:M)</f>
        <v>0</v>
      </c>
      <c r="I245">
        <f>SUMIF(Sales!E:E,A245,Sales!G:G)</f>
        <v>0</v>
      </c>
      <c r="J245">
        <f>G245+H245-I245</f>
        <v>0</v>
      </c>
      <c r="K245" t="str">
        <f>IF(J245&lt;=Products!J245,"LOW STOCK","OK")</f>
        <v>LOW STOCK</v>
      </c>
    </row>
    <row r="246" spans="1:11" x14ac:dyDescent="0.25">
      <c r="A246">
        <f>Products!A246</f>
        <v>0</v>
      </c>
      <c r="B246" t="str">
        <f>IFERROR(VLOOKUP($A246,Products!$A:$G,2,FALSE),"")</f>
        <v/>
      </c>
      <c r="G246">
        <f>Products!I246</f>
        <v>0</v>
      </c>
      <c r="H246">
        <f>SUMIF(Purchases!H:H,A246,Purchases!M:M)</f>
        <v>0</v>
      </c>
      <c r="I246">
        <f>SUMIF(Sales!E:E,A246,Sales!G:G)</f>
        <v>0</v>
      </c>
      <c r="J246">
        <f>G246+H246-I246</f>
        <v>0</v>
      </c>
      <c r="K246" t="str">
        <f>IF(J246&lt;=Products!J246,"LOW STOCK","OK")</f>
        <v>LOW STOCK</v>
      </c>
    </row>
    <row r="247" spans="1:11" x14ac:dyDescent="0.25">
      <c r="A247">
        <f>Products!A247</f>
        <v>0</v>
      </c>
      <c r="B247" t="str">
        <f>IFERROR(VLOOKUP($A247,Products!$A:$G,2,FALSE),"")</f>
        <v/>
      </c>
      <c r="G247">
        <f>Products!I247</f>
        <v>0</v>
      </c>
      <c r="H247">
        <f>SUMIF(Purchases!H:H,A247,Purchases!M:M)</f>
        <v>0</v>
      </c>
      <c r="I247">
        <f>SUMIF(Sales!E:E,A247,Sales!G:G)</f>
        <v>0</v>
      </c>
      <c r="J247">
        <f>G247+H247-I247</f>
        <v>0</v>
      </c>
      <c r="K247" t="str">
        <f>IF(J247&lt;=Products!J247,"LOW STOCK","OK")</f>
        <v>LOW STOCK</v>
      </c>
    </row>
    <row r="248" spans="1:11" x14ac:dyDescent="0.25">
      <c r="A248">
        <f>Products!A248</f>
        <v>0</v>
      </c>
      <c r="B248" t="str">
        <f>IFERROR(VLOOKUP($A248,Products!$A:$G,2,FALSE),"")</f>
        <v/>
      </c>
      <c r="G248">
        <f>Products!I248</f>
        <v>0</v>
      </c>
      <c r="H248">
        <f>SUMIF(Purchases!H:H,A248,Purchases!M:M)</f>
        <v>0</v>
      </c>
      <c r="I248">
        <f>SUMIF(Sales!E:E,A248,Sales!G:G)</f>
        <v>0</v>
      </c>
      <c r="J248">
        <f>G248+H248-I248</f>
        <v>0</v>
      </c>
      <c r="K248" t="str">
        <f>IF(J248&lt;=Products!J248,"LOW STOCK","OK")</f>
        <v>LOW STOCK</v>
      </c>
    </row>
    <row r="249" spans="1:11" x14ac:dyDescent="0.25">
      <c r="A249">
        <f>Products!A249</f>
        <v>0</v>
      </c>
      <c r="B249" t="str">
        <f>IFERROR(VLOOKUP($A249,Products!$A:$G,2,FALSE),"")</f>
        <v/>
      </c>
      <c r="G249">
        <f>Products!I249</f>
        <v>0</v>
      </c>
      <c r="H249">
        <f>SUMIF(Purchases!H:H,A249,Purchases!M:M)</f>
        <v>0</v>
      </c>
      <c r="I249">
        <f>SUMIF(Sales!E:E,A249,Sales!G:G)</f>
        <v>0</v>
      </c>
      <c r="J249">
        <f>G249+H249-I249</f>
        <v>0</v>
      </c>
      <c r="K249" t="str">
        <f>IF(J249&lt;=Products!J249,"LOW STOCK","OK")</f>
        <v>LOW STOCK</v>
      </c>
    </row>
    <row r="250" spans="1:11" x14ac:dyDescent="0.25">
      <c r="A250">
        <f>Products!A250</f>
        <v>0</v>
      </c>
      <c r="B250" t="str">
        <f>IFERROR(VLOOKUP($A250,Products!$A:$G,2,FALSE),"")</f>
        <v/>
      </c>
      <c r="G250">
        <f>Products!I250</f>
        <v>0</v>
      </c>
      <c r="H250">
        <f>SUMIF(Purchases!H:H,A250,Purchases!M:M)</f>
        <v>0</v>
      </c>
      <c r="I250">
        <f>SUMIF(Sales!E:E,A250,Sales!G:G)</f>
        <v>0</v>
      </c>
      <c r="J250">
        <f>G250+H250-I250</f>
        <v>0</v>
      </c>
      <c r="K250" t="str">
        <f>IF(J250&lt;=Products!J250,"LOW STOCK","OK")</f>
        <v>LOW STOCK</v>
      </c>
    </row>
    <row r="251" spans="1:11" x14ac:dyDescent="0.25">
      <c r="A251">
        <f>Products!A251</f>
        <v>0</v>
      </c>
      <c r="B251" t="str">
        <f>IFERROR(VLOOKUP($A251,Products!$A:$G,2,FALSE),"")</f>
        <v/>
      </c>
      <c r="G251">
        <f>Products!I251</f>
        <v>0</v>
      </c>
      <c r="H251">
        <f>SUMIF(Purchases!H:H,A251,Purchases!M:M)</f>
        <v>0</v>
      </c>
      <c r="I251">
        <f>SUMIF(Sales!E:E,A251,Sales!G:G)</f>
        <v>0</v>
      </c>
      <c r="J251">
        <f>G251+H251-I251</f>
        <v>0</v>
      </c>
      <c r="K251" t="str">
        <f>IF(J251&lt;=Products!J251,"LOW STOCK","OK")</f>
        <v>LOW STOCK</v>
      </c>
    </row>
    <row r="252" spans="1:11" x14ac:dyDescent="0.25">
      <c r="A252">
        <f>Products!A252</f>
        <v>0</v>
      </c>
      <c r="B252" t="str">
        <f>IFERROR(VLOOKUP($A252,Products!$A:$G,2,FALSE),"")</f>
        <v/>
      </c>
      <c r="G252">
        <f>Products!I252</f>
        <v>0</v>
      </c>
      <c r="H252">
        <f>SUMIF(Purchases!H:H,A252,Purchases!M:M)</f>
        <v>0</v>
      </c>
      <c r="I252">
        <f>SUMIF(Sales!E:E,A252,Sales!G:G)</f>
        <v>0</v>
      </c>
      <c r="J252">
        <f>G252+H252-I252</f>
        <v>0</v>
      </c>
      <c r="K252" t="str">
        <f>IF(J252&lt;=Products!J252,"LOW STOCK","OK")</f>
        <v>LOW STOCK</v>
      </c>
    </row>
    <row r="253" spans="1:11" x14ac:dyDescent="0.25">
      <c r="A253">
        <f>Products!A253</f>
        <v>0</v>
      </c>
      <c r="B253" t="str">
        <f>IFERROR(VLOOKUP($A253,Products!$A:$G,2,FALSE),"")</f>
        <v/>
      </c>
      <c r="G253">
        <f>Products!I253</f>
        <v>0</v>
      </c>
      <c r="H253">
        <f>SUMIF(Purchases!H:H,A253,Purchases!M:M)</f>
        <v>0</v>
      </c>
      <c r="I253">
        <f>SUMIF(Sales!E:E,A253,Sales!G:G)</f>
        <v>0</v>
      </c>
      <c r="J253">
        <f>G253+H253-I253</f>
        <v>0</v>
      </c>
      <c r="K253" t="str">
        <f>IF(J253&lt;=Products!J253,"LOW STOCK","OK")</f>
        <v>LOW STOCK</v>
      </c>
    </row>
    <row r="254" spans="1:11" x14ac:dyDescent="0.25">
      <c r="A254">
        <f>Products!A254</f>
        <v>0</v>
      </c>
      <c r="B254" t="str">
        <f>IFERROR(VLOOKUP($A254,Products!$A:$G,2,FALSE),"")</f>
        <v/>
      </c>
      <c r="G254">
        <f>Products!I254</f>
        <v>0</v>
      </c>
      <c r="H254">
        <f>SUMIF(Purchases!H:H,A254,Purchases!M:M)</f>
        <v>0</v>
      </c>
      <c r="I254">
        <f>SUMIF(Sales!E:E,A254,Sales!G:G)</f>
        <v>0</v>
      </c>
      <c r="J254">
        <f>G254+H254-I254</f>
        <v>0</v>
      </c>
      <c r="K254" t="str">
        <f>IF(J254&lt;=Products!J254,"LOW STOCK","OK")</f>
        <v>LOW STOCK</v>
      </c>
    </row>
    <row r="255" spans="1:11" x14ac:dyDescent="0.25">
      <c r="A255">
        <f>Products!A255</f>
        <v>0</v>
      </c>
      <c r="B255" t="str">
        <f>IFERROR(VLOOKUP($A255,Products!$A:$G,2,FALSE),"")</f>
        <v/>
      </c>
      <c r="G255">
        <f>Products!I255</f>
        <v>0</v>
      </c>
      <c r="H255">
        <f>SUMIF(Purchases!H:H,A255,Purchases!M:M)</f>
        <v>0</v>
      </c>
      <c r="I255">
        <f>SUMIF(Sales!E:E,A255,Sales!G:G)</f>
        <v>0</v>
      </c>
      <c r="J255">
        <f>G255+H255-I255</f>
        <v>0</v>
      </c>
      <c r="K255" t="str">
        <f>IF(J255&lt;=Products!J255,"LOW STOCK","OK")</f>
        <v>LOW STOCK</v>
      </c>
    </row>
    <row r="256" spans="1:11" x14ac:dyDescent="0.25">
      <c r="A256">
        <f>Products!A256</f>
        <v>0</v>
      </c>
      <c r="B256" t="str">
        <f>IFERROR(VLOOKUP($A256,Products!$A:$G,2,FALSE),"")</f>
        <v/>
      </c>
      <c r="G256">
        <f>Products!I256</f>
        <v>0</v>
      </c>
      <c r="H256">
        <f>SUMIF(Purchases!H:H,A256,Purchases!M:M)</f>
        <v>0</v>
      </c>
      <c r="I256">
        <f>SUMIF(Sales!E:E,A256,Sales!G:G)</f>
        <v>0</v>
      </c>
      <c r="J256">
        <f>G256+H256-I256</f>
        <v>0</v>
      </c>
      <c r="K256" t="str">
        <f>IF(J256&lt;=Products!J256,"LOW STOCK","OK")</f>
        <v>LOW STOCK</v>
      </c>
    </row>
    <row r="257" spans="1:11" x14ac:dyDescent="0.25">
      <c r="A257">
        <f>Products!A257</f>
        <v>0</v>
      </c>
      <c r="B257" t="str">
        <f>IFERROR(VLOOKUP($A257,Products!$A:$G,2,FALSE),"")</f>
        <v/>
      </c>
      <c r="G257">
        <f>Products!I257</f>
        <v>0</v>
      </c>
      <c r="H257">
        <f>SUMIF(Purchases!H:H,A257,Purchases!M:M)</f>
        <v>0</v>
      </c>
      <c r="I257">
        <f>SUMIF(Sales!E:E,A257,Sales!G:G)</f>
        <v>0</v>
      </c>
      <c r="J257">
        <f>G257+H257-I257</f>
        <v>0</v>
      </c>
      <c r="K257" t="str">
        <f>IF(J257&lt;=Products!J257,"LOW STOCK","OK")</f>
        <v>LOW STOCK</v>
      </c>
    </row>
    <row r="258" spans="1:11" x14ac:dyDescent="0.25">
      <c r="A258">
        <f>Products!A258</f>
        <v>0</v>
      </c>
      <c r="B258" t="str">
        <f>IFERROR(VLOOKUP($A258,Products!$A:$G,2,FALSE),"")</f>
        <v/>
      </c>
      <c r="G258">
        <f>Products!I258</f>
        <v>0</v>
      </c>
      <c r="H258">
        <f>SUMIF(Purchases!H:H,A258,Purchases!M:M)</f>
        <v>0</v>
      </c>
      <c r="I258">
        <f>SUMIF(Sales!E:E,A258,Sales!G:G)</f>
        <v>0</v>
      </c>
      <c r="J258">
        <f>G258+H258-I258</f>
        <v>0</v>
      </c>
      <c r="K258" t="str">
        <f>IF(J258&lt;=Products!J258,"LOW STOCK","OK")</f>
        <v>LOW STOCK</v>
      </c>
    </row>
    <row r="259" spans="1:11" x14ac:dyDescent="0.25">
      <c r="A259">
        <f>Products!A259</f>
        <v>0</v>
      </c>
      <c r="B259" t="str">
        <f>IFERROR(VLOOKUP($A259,Products!$A:$G,2,FALSE),"")</f>
        <v/>
      </c>
      <c r="G259">
        <f>Products!I259</f>
        <v>0</v>
      </c>
      <c r="H259">
        <f>SUMIF(Purchases!H:H,A259,Purchases!M:M)</f>
        <v>0</v>
      </c>
      <c r="I259">
        <f>SUMIF(Sales!E:E,A259,Sales!G:G)</f>
        <v>0</v>
      </c>
      <c r="J259">
        <f>G259+H259-I259</f>
        <v>0</v>
      </c>
      <c r="K259" t="str">
        <f>IF(J259&lt;=Products!J259,"LOW STOCK","OK")</f>
        <v>LOW STOCK</v>
      </c>
    </row>
    <row r="260" spans="1:11" x14ac:dyDescent="0.25">
      <c r="A260">
        <f>Products!A260</f>
        <v>0</v>
      </c>
      <c r="B260" t="str">
        <f>IFERROR(VLOOKUP($A260,Products!$A:$G,2,FALSE),"")</f>
        <v/>
      </c>
      <c r="G260">
        <f>Products!I260</f>
        <v>0</v>
      </c>
      <c r="H260">
        <f>SUMIF(Purchases!H:H,A260,Purchases!M:M)</f>
        <v>0</v>
      </c>
      <c r="I260">
        <f>SUMIF(Sales!E:E,A260,Sales!G:G)</f>
        <v>0</v>
      </c>
      <c r="J260">
        <f>G260+H260-I260</f>
        <v>0</v>
      </c>
      <c r="K260" t="str">
        <f>IF(J260&lt;=Products!J260,"LOW STOCK","OK")</f>
        <v>LOW STOCK</v>
      </c>
    </row>
    <row r="261" spans="1:11" x14ac:dyDescent="0.25">
      <c r="A261">
        <f>Products!A261</f>
        <v>0</v>
      </c>
      <c r="B261" t="str">
        <f>IFERROR(VLOOKUP($A261,Products!$A:$G,2,FALSE),"")</f>
        <v/>
      </c>
      <c r="G261">
        <f>Products!I261</f>
        <v>0</v>
      </c>
      <c r="H261">
        <f>SUMIF(Purchases!H:H,A261,Purchases!M:M)</f>
        <v>0</v>
      </c>
      <c r="I261">
        <f>SUMIF(Sales!E:E,A261,Sales!G:G)</f>
        <v>0</v>
      </c>
      <c r="J261">
        <f>G261+H261-I261</f>
        <v>0</v>
      </c>
      <c r="K261" t="str">
        <f>IF(J261&lt;=Products!J261,"LOW STOCK","OK")</f>
        <v>LOW STOCK</v>
      </c>
    </row>
    <row r="262" spans="1:11" x14ac:dyDescent="0.25">
      <c r="A262">
        <f>Products!A262</f>
        <v>0</v>
      </c>
      <c r="B262" t="str">
        <f>IFERROR(VLOOKUP($A262,Products!$A:$G,2,FALSE),"")</f>
        <v/>
      </c>
      <c r="G262">
        <f>Products!I262</f>
        <v>0</v>
      </c>
      <c r="H262">
        <f>SUMIF(Purchases!H:H,A262,Purchases!M:M)</f>
        <v>0</v>
      </c>
      <c r="I262">
        <f>SUMIF(Sales!E:E,A262,Sales!G:G)</f>
        <v>0</v>
      </c>
      <c r="J262">
        <f>G262+H262-I262</f>
        <v>0</v>
      </c>
      <c r="K262" t="str">
        <f>IF(J262&lt;=Products!J262,"LOW STOCK","OK")</f>
        <v>LOW STOCK</v>
      </c>
    </row>
    <row r="263" spans="1:11" x14ac:dyDescent="0.25">
      <c r="A263">
        <f>Products!A263</f>
        <v>0</v>
      </c>
      <c r="B263" t="str">
        <f>IFERROR(VLOOKUP($A263,Products!$A:$G,2,FALSE),"")</f>
        <v/>
      </c>
      <c r="G263">
        <f>Products!I263</f>
        <v>0</v>
      </c>
      <c r="H263">
        <f>SUMIF(Purchases!H:H,A263,Purchases!M:M)</f>
        <v>0</v>
      </c>
      <c r="I263">
        <f>SUMIF(Sales!E:E,A263,Sales!G:G)</f>
        <v>0</v>
      </c>
      <c r="J263">
        <f>G263+H263-I263</f>
        <v>0</v>
      </c>
      <c r="K263" t="str">
        <f>IF(J263&lt;=Products!J263,"LOW STOCK","OK")</f>
        <v>LOW STOCK</v>
      </c>
    </row>
    <row r="264" spans="1:11" x14ac:dyDescent="0.25">
      <c r="A264">
        <f>Products!A264</f>
        <v>0</v>
      </c>
      <c r="B264" t="str">
        <f>IFERROR(VLOOKUP($A264,Products!$A:$G,2,FALSE),"")</f>
        <v/>
      </c>
      <c r="G264">
        <f>Products!I264</f>
        <v>0</v>
      </c>
      <c r="H264">
        <f>SUMIF(Purchases!H:H,A264,Purchases!M:M)</f>
        <v>0</v>
      </c>
      <c r="I264">
        <f>SUMIF(Sales!E:E,A264,Sales!G:G)</f>
        <v>0</v>
      </c>
      <c r="J264">
        <f>G264+H264-I264</f>
        <v>0</v>
      </c>
      <c r="K264" t="str">
        <f>IF(J264&lt;=Products!J264,"LOW STOCK","OK")</f>
        <v>LOW STOCK</v>
      </c>
    </row>
    <row r="265" spans="1:11" x14ac:dyDescent="0.25">
      <c r="A265">
        <f>Products!A265</f>
        <v>0</v>
      </c>
      <c r="B265" t="str">
        <f>IFERROR(VLOOKUP($A265,Products!$A:$G,2,FALSE),"")</f>
        <v/>
      </c>
      <c r="G265">
        <f>Products!I265</f>
        <v>0</v>
      </c>
      <c r="H265">
        <f>SUMIF(Purchases!H:H,A265,Purchases!M:M)</f>
        <v>0</v>
      </c>
      <c r="I265">
        <f>SUMIF(Sales!E:E,A265,Sales!G:G)</f>
        <v>0</v>
      </c>
      <c r="J265">
        <f>G265+H265-I265</f>
        <v>0</v>
      </c>
      <c r="K265" t="str">
        <f>IF(J265&lt;=Products!J265,"LOW STOCK","OK")</f>
        <v>LOW STOCK</v>
      </c>
    </row>
    <row r="266" spans="1:11" x14ac:dyDescent="0.25">
      <c r="A266">
        <f>Products!A266</f>
        <v>0</v>
      </c>
      <c r="B266" t="str">
        <f>IFERROR(VLOOKUP($A266,Products!$A:$G,2,FALSE),"")</f>
        <v/>
      </c>
      <c r="G266">
        <f>Products!I266</f>
        <v>0</v>
      </c>
      <c r="H266">
        <f>SUMIF(Purchases!H:H,A266,Purchases!M:M)</f>
        <v>0</v>
      </c>
      <c r="I266">
        <f>SUMIF(Sales!E:E,A266,Sales!G:G)</f>
        <v>0</v>
      </c>
      <c r="J266">
        <f>G266+H266-I266</f>
        <v>0</v>
      </c>
      <c r="K266" t="str">
        <f>IF(J266&lt;=Products!J266,"LOW STOCK","OK")</f>
        <v>LOW STOCK</v>
      </c>
    </row>
    <row r="267" spans="1:11" x14ac:dyDescent="0.25">
      <c r="A267">
        <f>Products!A267</f>
        <v>0</v>
      </c>
      <c r="B267" t="str">
        <f>IFERROR(VLOOKUP($A267,Products!$A:$G,2,FALSE),"")</f>
        <v/>
      </c>
      <c r="G267">
        <f>Products!I267</f>
        <v>0</v>
      </c>
      <c r="H267">
        <f>SUMIF(Purchases!H:H,A267,Purchases!M:M)</f>
        <v>0</v>
      </c>
      <c r="I267">
        <f>SUMIF(Sales!E:E,A267,Sales!G:G)</f>
        <v>0</v>
      </c>
      <c r="J267">
        <f>G267+H267-I267</f>
        <v>0</v>
      </c>
      <c r="K267" t="str">
        <f>IF(J267&lt;=Products!J267,"LOW STOCK","OK")</f>
        <v>LOW STOCK</v>
      </c>
    </row>
    <row r="268" spans="1:11" x14ac:dyDescent="0.25">
      <c r="A268">
        <f>Products!A268</f>
        <v>0</v>
      </c>
      <c r="B268" t="str">
        <f>IFERROR(VLOOKUP($A268,Products!$A:$G,2,FALSE),"")</f>
        <v/>
      </c>
      <c r="G268">
        <f>Products!I268</f>
        <v>0</v>
      </c>
      <c r="H268">
        <f>SUMIF(Purchases!H:H,A268,Purchases!M:M)</f>
        <v>0</v>
      </c>
      <c r="I268">
        <f>SUMIF(Sales!E:E,A268,Sales!G:G)</f>
        <v>0</v>
      </c>
      <c r="J268">
        <f>G268+H268-I268</f>
        <v>0</v>
      </c>
      <c r="K268" t="str">
        <f>IF(J268&lt;=Products!J268,"LOW STOCK","OK")</f>
        <v>LOW STOCK</v>
      </c>
    </row>
    <row r="269" spans="1:11" x14ac:dyDescent="0.25">
      <c r="A269">
        <f>Products!A269</f>
        <v>0</v>
      </c>
      <c r="B269" t="str">
        <f>IFERROR(VLOOKUP($A269,Products!$A:$G,2,FALSE),"")</f>
        <v/>
      </c>
      <c r="G269">
        <f>Products!I269</f>
        <v>0</v>
      </c>
      <c r="H269">
        <f>SUMIF(Purchases!H:H,A269,Purchases!M:M)</f>
        <v>0</v>
      </c>
      <c r="I269">
        <f>SUMIF(Sales!E:E,A269,Sales!G:G)</f>
        <v>0</v>
      </c>
      <c r="J269">
        <f>G269+H269-I269</f>
        <v>0</v>
      </c>
      <c r="K269" t="str">
        <f>IF(J269&lt;=Products!J269,"LOW STOCK","OK")</f>
        <v>LOW STOCK</v>
      </c>
    </row>
    <row r="270" spans="1:11" x14ac:dyDescent="0.25">
      <c r="A270">
        <f>Products!A270</f>
        <v>0</v>
      </c>
      <c r="B270" t="str">
        <f>IFERROR(VLOOKUP($A270,Products!$A:$G,2,FALSE),"")</f>
        <v/>
      </c>
      <c r="G270">
        <f>Products!I270</f>
        <v>0</v>
      </c>
      <c r="H270">
        <f>SUMIF(Purchases!H:H,A270,Purchases!M:M)</f>
        <v>0</v>
      </c>
      <c r="I270">
        <f>SUMIF(Sales!E:E,A270,Sales!G:G)</f>
        <v>0</v>
      </c>
      <c r="J270">
        <f>G270+H270-I270</f>
        <v>0</v>
      </c>
      <c r="K270" t="str">
        <f>IF(J270&lt;=Products!J270,"LOW STOCK","OK")</f>
        <v>LOW STOCK</v>
      </c>
    </row>
    <row r="271" spans="1:11" x14ac:dyDescent="0.25">
      <c r="A271">
        <f>Products!A271</f>
        <v>0</v>
      </c>
      <c r="B271" t="str">
        <f>IFERROR(VLOOKUP($A271,Products!$A:$G,2,FALSE),"")</f>
        <v/>
      </c>
      <c r="G271">
        <f>Products!I271</f>
        <v>0</v>
      </c>
      <c r="H271">
        <f>SUMIF(Purchases!H:H,A271,Purchases!M:M)</f>
        <v>0</v>
      </c>
      <c r="I271">
        <f>SUMIF(Sales!E:E,A271,Sales!G:G)</f>
        <v>0</v>
      </c>
      <c r="J271">
        <f>G271+H271-I271</f>
        <v>0</v>
      </c>
      <c r="K271" t="str">
        <f>IF(J271&lt;=Products!J271,"LOW STOCK","OK")</f>
        <v>LOW STOCK</v>
      </c>
    </row>
    <row r="272" spans="1:11" x14ac:dyDescent="0.25">
      <c r="A272">
        <f>Products!A272</f>
        <v>0</v>
      </c>
      <c r="B272" t="str">
        <f>IFERROR(VLOOKUP($A272,Products!$A:$G,2,FALSE),"")</f>
        <v/>
      </c>
      <c r="G272">
        <f>Products!I272</f>
        <v>0</v>
      </c>
      <c r="H272">
        <f>SUMIF(Purchases!H:H,A272,Purchases!M:M)</f>
        <v>0</v>
      </c>
      <c r="I272">
        <f>SUMIF(Sales!E:E,A272,Sales!G:G)</f>
        <v>0</v>
      </c>
      <c r="J272">
        <f>G272+H272-I272</f>
        <v>0</v>
      </c>
      <c r="K272" t="str">
        <f>IF(J272&lt;=Products!J272,"LOW STOCK","OK")</f>
        <v>LOW STOCK</v>
      </c>
    </row>
    <row r="273" spans="1:11" x14ac:dyDescent="0.25">
      <c r="A273">
        <f>Products!A273</f>
        <v>0</v>
      </c>
      <c r="B273" t="str">
        <f>IFERROR(VLOOKUP($A273,Products!$A:$G,2,FALSE),"")</f>
        <v/>
      </c>
      <c r="G273">
        <f>Products!I273</f>
        <v>0</v>
      </c>
      <c r="H273">
        <f>SUMIF(Purchases!H:H,A273,Purchases!M:M)</f>
        <v>0</v>
      </c>
      <c r="I273">
        <f>SUMIF(Sales!E:E,A273,Sales!G:G)</f>
        <v>0</v>
      </c>
      <c r="J273">
        <f>G273+H273-I273</f>
        <v>0</v>
      </c>
      <c r="K273" t="str">
        <f>IF(J273&lt;=Products!J273,"LOW STOCK","OK")</f>
        <v>LOW STOCK</v>
      </c>
    </row>
    <row r="274" spans="1:11" x14ac:dyDescent="0.25">
      <c r="A274">
        <f>Products!A274</f>
        <v>0</v>
      </c>
      <c r="B274" t="str">
        <f>IFERROR(VLOOKUP($A274,Products!$A:$G,2,FALSE),"")</f>
        <v/>
      </c>
      <c r="G274">
        <f>Products!I274</f>
        <v>0</v>
      </c>
      <c r="H274">
        <f>SUMIF(Purchases!H:H,A274,Purchases!M:M)</f>
        <v>0</v>
      </c>
      <c r="I274">
        <f>SUMIF(Sales!E:E,A274,Sales!G:G)</f>
        <v>0</v>
      </c>
      <c r="J274">
        <f>G274+H274-I274</f>
        <v>0</v>
      </c>
      <c r="K274" t="str">
        <f>IF(J274&lt;=Products!J274,"LOW STOCK","OK")</f>
        <v>LOW STOCK</v>
      </c>
    </row>
    <row r="275" spans="1:11" x14ac:dyDescent="0.25">
      <c r="A275">
        <f>Products!A275</f>
        <v>0</v>
      </c>
      <c r="B275" t="str">
        <f>IFERROR(VLOOKUP($A275,Products!$A:$G,2,FALSE),"")</f>
        <v/>
      </c>
      <c r="G275">
        <f>Products!I275</f>
        <v>0</v>
      </c>
      <c r="H275">
        <f>SUMIF(Purchases!H:H,A275,Purchases!M:M)</f>
        <v>0</v>
      </c>
      <c r="I275">
        <f>SUMIF(Sales!E:E,A275,Sales!G:G)</f>
        <v>0</v>
      </c>
      <c r="J275">
        <f>G275+H275-I275</f>
        <v>0</v>
      </c>
      <c r="K275" t="str">
        <f>IF(J275&lt;=Products!J275,"LOW STOCK","OK")</f>
        <v>LOW STOCK</v>
      </c>
    </row>
    <row r="276" spans="1:11" x14ac:dyDescent="0.25">
      <c r="A276">
        <f>Products!A276</f>
        <v>0</v>
      </c>
      <c r="B276" t="str">
        <f>IFERROR(VLOOKUP($A276,Products!$A:$G,2,FALSE),"")</f>
        <v/>
      </c>
      <c r="G276">
        <f>Products!I276</f>
        <v>0</v>
      </c>
      <c r="H276">
        <f>SUMIF(Purchases!H:H,A276,Purchases!M:M)</f>
        <v>0</v>
      </c>
      <c r="I276">
        <f>SUMIF(Sales!E:E,A276,Sales!G:G)</f>
        <v>0</v>
      </c>
      <c r="J276">
        <f>G276+H276-I276</f>
        <v>0</v>
      </c>
      <c r="K276" t="str">
        <f>IF(J276&lt;=Products!J276,"LOW STOCK","OK")</f>
        <v>LOW STOCK</v>
      </c>
    </row>
    <row r="277" spans="1:11" x14ac:dyDescent="0.25">
      <c r="A277">
        <f>Products!A277</f>
        <v>0</v>
      </c>
      <c r="B277" t="str">
        <f>IFERROR(VLOOKUP($A277,Products!$A:$G,2,FALSE),"")</f>
        <v/>
      </c>
      <c r="G277">
        <f>Products!I277</f>
        <v>0</v>
      </c>
      <c r="H277">
        <f>SUMIF(Purchases!H:H,A277,Purchases!M:M)</f>
        <v>0</v>
      </c>
      <c r="I277">
        <f>SUMIF(Sales!E:E,A277,Sales!G:G)</f>
        <v>0</v>
      </c>
      <c r="J277">
        <f>G277+H277-I277</f>
        <v>0</v>
      </c>
      <c r="K277" t="str">
        <f>IF(J277&lt;=Products!J277,"LOW STOCK","OK")</f>
        <v>LOW STOCK</v>
      </c>
    </row>
    <row r="278" spans="1:11" x14ac:dyDescent="0.25">
      <c r="A278">
        <f>Products!A278</f>
        <v>0</v>
      </c>
      <c r="B278" t="str">
        <f>IFERROR(VLOOKUP($A278,Products!$A:$G,2,FALSE),"")</f>
        <v/>
      </c>
      <c r="G278">
        <f>Products!I278</f>
        <v>0</v>
      </c>
      <c r="H278">
        <f>SUMIF(Purchases!H:H,A278,Purchases!M:M)</f>
        <v>0</v>
      </c>
      <c r="I278">
        <f>SUMIF(Sales!E:E,A278,Sales!G:G)</f>
        <v>0</v>
      </c>
      <c r="J278">
        <f>G278+H278-I278</f>
        <v>0</v>
      </c>
      <c r="K278" t="str">
        <f>IF(J278&lt;=Products!J278,"LOW STOCK","OK")</f>
        <v>LOW STOCK</v>
      </c>
    </row>
    <row r="279" spans="1:11" x14ac:dyDescent="0.25">
      <c r="A279">
        <f>Products!A279</f>
        <v>0</v>
      </c>
      <c r="B279" t="str">
        <f>IFERROR(VLOOKUP($A279,Products!$A:$G,2,FALSE),"")</f>
        <v/>
      </c>
      <c r="G279">
        <f>Products!I279</f>
        <v>0</v>
      </c>
      <c r="H279">
        <f>SUMIF(Purchases!H:H,A279,Purchases!M:M)</f>
        <v>0</v>
      </c>
      <c r="I279">
        <f>SUMIF(Sales!E:E,A279,Sales!G:G)</f>
        <v>0</v>
      </c>
      <c r="J279">
        <f>G279+H279-I279</f>
        <v>0</v>
      </c>
      <c r="K279" t="str">
        <f>IF(J279&lt;=Products!J279,"LOW STOCK","OK")</f>
        <v>LOW STOCK</v>
      </c>
    </row>
    <row r="280" spans="1:11" x14ac:dyDescent="0.25">
      <c r="A280">
        <f>Products!A280</f>
        <v>0</v>
      </c>
      <c r="B280" t="str">
        <f>IFERROR(VLOOKUP($A280,Products!$A:$G,2,FALSE),"")</f>
        <v/>
      </c>
      <c r="G280">
        <f>Products!I280</f>
        <v>0</v>
      </c>
      <c r="H280">
        <f>SUMIF(Purchases!H:H,A280,Purchases!M:M)</f>
        <v>0</v>
      </c>
      <c r="I280">
        <f>SUMIF(Sales!E:E,A280,Sales!G:G)</f>
        <v>0</v>
      </c>
      <c r="J280">
        <f>G280+H280-I280</f>
        <v>0</v>
      </c>
      <c r="K280" t="str">
        <f>IF(J280&lt;=Products!J280,"LOW STOCK","OK")</f>
        <v>LOW STOCK</v>
      </c>
    </row>
    <row r="281" spans="1:11" x14ac:dyDescent="0.25">
      <c r="A281">
        <f>Products!A281</f>
        <v>0</v>
      </c>
      <c r="B281" t="str">
        <f>IFERROR(VLOOKUP($A281,Products!$A:$G,2,FALSE),"")</f>
        <v/>
      </c>
      <c r="G281">
        <f>Products!I281</f>
        <v>0</v>
      </c>
      <c r="H281">
        <f>SUMIF(Purchases!H:H,A281,Purchases!M:M)</f>
        <v>0</v>
      </c>
      <c r="I281">
        <f>SUMIF(Sales!E:E,A281,Sales!G:G)</f>
        <v>0</v>
      </c>
      <c r="J281">
        <f>G281+H281-I281</f>
        <v>0</v>
      </c>
      <c r="K281" t="str">
        <f>IF(J281&lt;=Products!J281,"LOW STOCK","OK")</f>
        <v>LOW STOCK</v>
      </c>
    </row>
    <row r="282" spans="1:11" x14ac:dyDescent="0.25">
      <c r="A282">
        <f>Products!A282</f>
        <v>0</v>
      </c>
      <c r="B282" t="str">
        <f>IFERROR(VLOOKUP($A282,Products!$A:$G,2,FALSE),"")</f>
        <v/>
      </c>
      <c r="G282">
        <f>Products!I282</f>
        <v>0</v>
      </c>
      <c r="H282">
        <f>SUMIF(Purchases!H:H,A282,Purchases!M:M)</f>
        <v>0</v>
      </c>
      <c r="I282">
        <f>SUMIF(Sales!E:E,A282,Sales!G:G)</f>
        <v>0</v>
      </c>
      <c r="J282">
        <f>G282+H282-I282</f>
        <v>0</v>
      </c>
      <c r="K282" t="str">
        <f>IF(J282&lt;=Products!J282,"LOW STOCK","OK")</f>
        <v>LOW STOCK</v>
      </c>
    </row>
    <row r="283" spans="1:11" x14ac:dyDescent="0.25">
      <c r="A283">
        <f>Products!A283</f>
        <v>0</v>
      </c>
      <c r="B283" t="str">
        <f>IFERROR(VLOOKUP($A283,Products!$A:$G,2,FALSE),"")</f>
        <v/>
      </c>
      <c r="G283">
        <f>Products!I283</f>
        <v>0</v>
      </c>
      <c r="H283">
        <f>SUMIF(Purchases!H:H,A283,Purchases!M:M)</f>
        <v>0</v>
      </c>
      <c r="I283">
        <f>SUMIF(Sales!E:E,A283,Sales!G:G)</f>
        <v>0</v>
      </c>
      <c r="J283">
        <f>G283+H283-I283</f>
        <v>0</v>
      </c>
      <c r="K283" t="str">
        <f>IF(J283&lt;=Products!J283,"LOW STOCK","OK")</f>
        <v>LOW STOCK</v>
      </c>
    </row>
    <row r="284" spans="1:11" x14ac:dyDescent="0.25">
      <c r="A284">
        <f>Products!A284</f>
        <v>0</v>
      </c>
      <c r="B284" t="str">
        <f>IFERROR(VLOOKUP($A284,Products!$A:$G,2,FALSE),"")</f>
        <v/>
      </c>
      <c r="G284">
        <f>Products!I284</f>
        <v>0</v>
      </c>
      <c r="H284">
        <f>SUMIF(Purchases!H:H,A284,Purchases!M:M)</f>
        <v>0</v>
      </c>
      <c r="I284">
        <f>SUMIF(Sales!E:E,A284,Sales!G:G)</f>
        <v>0</v>
      </c>
      <c r="J284">
        <f>G284+H284-I284</f>
        <v>0</v>
      </c>
      <c r="K284" t="str">
        <f>IF(J284&lt;=Products!J284,"LOW STOCK","OK")</f>
        <v>LOW STOCK</v>
      </c>
    </row>
    <row r="285" spans="1:11" x14ac:dyDescent="0.25">
      <c r="A285">
        <f>Products!A285</f>
        <v>0</v>
      </c>
      <c r="B285" t="str">
        <f>IFERROR(VLOOKUP($A285,Products!$A:$G,2,FALSE),"")</f>
        <v/>
      </c>
      <c r="G285">
        <f>Products!I285</f>
        <v>0</v>
      </c>
      <c r="H285">
        <f>SUMIF(Purchases!H:H,A285,Purchases!M:M)</f>
        <v>0</v>
      </c>
      <c r="I285">
        <f>SUMIF(Sales!E:E,A285,Sales!G:G)</f>
        <v>0</v>
      </c>
      <c r="J285">
        <f>G285+H285-I285</f>
        <v>0</v>
      </c>
      <c r="K285" t="str">
        <f>IF(J285&lt;=Products!J285,"LOW STOCK","OK")</f>
        <v>LOW STOCK</v>
      </c>
    </row>
    <row r="286" spans="1:11" x14ac:dyDescent="0.25">
      <c r="A286">
        <f>Products!A286</f>
        <v>0</v>
      </c>
      <c r="B286" t="str">
        <f>IFERROR(VLOOKUP($A286,Products!$A:$G,2,FALSE),"")</f>
        <v/>
      </c>
      <c r="G286">
        <f>Products!I286</f>
        <v>0</v>
      </c>
      <c r="H286">
        <f>SUMIF(Purchases!H:H,A286,Purchases!M:M)</f>
        <v>0</v>
      </c>
      <c r="I286">
        <f>SUMIF(Sales!E:E,A286,Sales!G:G)</f>
        <v>0</v>
      </c>
      <c r="J286">
        <f>G286+H286-I286</f>
        <v>0</v>
      </c>
      <c r="K286" t="str">
        <f>IF(J286&lt;=Products!J286,"LOW STOCK","OK")</f>
        <v>LOW STOCK</v>
      </c>
    </row>
    <row r="287" spans="1:11" x14ac:dyDescent="0.25">
      <c r="A287">
        <f>Products!A287</f>
        <v>0</v>
      </c>
      <c r="B287" t="str">
        <f>IFERROR(VLOOKUP($A287,Products!$A:$G,2,FALSE),"")</f>
        <v/>
      </c>
      <c r="G287">
        <f>Products!I287</f>
        <v>0</v>
      </c>
      <c r="H287">
        <f>SUMIF(Purchases!H:H,A287,Purchases!M:M)</f>
        <v>0</v>
      </c>
      <c r="I287">
        <f>SUMIF(Sales!E:E,A287,Sales!G:G)</f>
        <v>0</v>
      </c>
      <c r="J287">
        <f>G287+H287-I287</f>
        <v>0</v>
      </c>
      <c r="K287" t="str">
        <f>IF(J287&lt;=Products!J287,"LOW STOCK","OK")</f>
        <v>LOW STOCK</v>
      </c>
    </row>
    <row r="288" spans="1:11" x14ac:dyDescent="0.25">
      <c r="A288">
        <f>Products!A288</f>
        <v>0</v>
      </c>
      <c r="B288" t="str">
        <f>IFERROR(VLOOKUP($A288,Products!$A:$G,2,FALSE),"")</f>
        <v/>
      </c>
      <c r="G288">
        <f>Products!I288</f>
        <v>0</v>
      </c>
      <c r="H288">
        <f>SUMIF(Purchases!H:H,A288,Purchases!M:M)</f>
        <v>0</v>
      </c>
      <c r="I288">
        <f>SUMIF(Sales!E:E,A288,Sales!G:G)</f>
        <v>0</v>
      </c>
      <c r="J288">
        <f>G288+H288-I288</f>
        <v>0</v>
      </c>
      <c r="K288" t="str">
        <f>IF(J288&lt;=Products!J288,"LOW STOCK","OK")</f>
        <v>LOW STOCK</v>
      </c>
    </row>
    <row r="289" spans="1:11" x14ac:dyDescent="0.25">
      <c r="A289">
        <f>Products!A289</f>
        <v>0</v>
      </c>
      <c r="B289" t="str">
        <f>IFERROR(VLOOKUP($A289,Products!$A:$G,2,FALSE),"")</f>
        <v/>
      </c>
      <c r="G289">
        <f>Products!I289</f>
        <v>0</v>
      </c>
      <c r="H289">
        <f>SUMIF(Purchases!H:H,A289,Purchases!M:M)</f>
        <v>0</v>
      </c>
      <c r="I289">
        <f>SUMIF(Sales!E:E,A289,Sales!G:G)</f>
        <v>0</v>
      </c>
      <c r="J289">
        <f>G289+H289-I289</f>
        <v>0</v>
      </c>
      <c r="K289" t="str">
        <f>IF(J289&lt;=Products!J289,"LOW STOCK","OK")</f>
        <v>LOW STOCK</v>
      </c>
    </row>
    <row r="290" spans="1:11" x14ac:dyDescent="0.25">
      <c r="A290">
        <f>Products!A290</f>
        <v>0</v>
      </c>
      <c r="B290" t="str">
        <f>IFERROR(VLOOKUP($A290,Products!$A:$G,2,FALSE),"")</f>
        <v/>
      </c>
      <c r="G290">
        <f>Products!I290</f>
        <v>0</v>
      </c>
      <c r="H290">
        <f>SUMIF(Purchases!H:H,A290,Purchases!M:M)</f>
        <v>0</v>
      </c>
      <c r="I290">
        <f>SUMIF(Sales!E:E,A290,Sales!G:G)</f>
        <v>0</v>
      </c>
      <c r="J290">
        <f>G290+H290-I290</f>
        <v>0</v>
      </c>
      <c r="K290" t="str">
        <f>IF(J290&lt;=Products!J290,"LOW STOCK","OK")</f>
        <v>LOW STOCK</v>
      </c>
    </row>
    <row r="291" spans="1:11" x14ac:dyDescent="0.25">
      <c r="A291">
        <f>Products!A291</f>
        <v>0</v>
      </c>
      <c r="B291" t="str">
        <f>IFERROR(VLOOKUP($A291,Products!$A:$G,2,FALSE),"")</f>
        <v/>
      </c>
      <c r="G291">
        <f>Products!I291</f>
        <v>0</v>
      </c>
      <c r="H291">
        <f>SUMIF(Purchases!H:H,A291,Purchases!M:M)</f>
        <v>0</v>
      </c>
      <c r="I291">
        <f>SUMIF(Sales!E:E,A291,Sales!G:G)</f>
        <v>0</v>
      </c>
      <c r="J291">
        <f>G291+H291-I291</f>
        <v>0</v>
      </c>
      <c r="K291" t="str">
        <f>IF(J291&lt;=Products!J291,"LOW STOCK","OK")</f>
        <v>LOW STOCK</v>
      </c>
    </row>
    <row r="292" spans="1:11" x14ac:dyDescent="0.25">
      <c r="A292">
        <f>Products!A292</f>
        <v>0</v>
      </c>
      <c r="B292" t="str">
        <f>IFERROR(VLOOKUP($A292,Products!$A:$G,2,FALSE),"")</f>
        <v/>
      </c>
      <c r="G292">
        <f>Products!I292</f>
        <v>0</v>
      </c>
      <c r="H292">
        <f>SUMIF(Purchases!H:H,A292,Purchases!M:M)</f>
        <v>0</v>
      </c>
      <c r="I292">
        <f>SUMIF(Sales!E:E,A292,Sales!G:G)</f>
        <v>0</v>
      </c>
      <c r="J292">
        <f>G292+H292-I292</f>
        <v>0</v>
      </c>
      <c r="K292" t="str">
        <f>IF(J292&lt;=Products!J292,"LOW STOCK","OK")</f>
        <v>LOW STOCK</v>
      </c>
    </row>
    <row r="293" spans="1:11" x14ac:dyDescent="0.25">
      <c r="A293">
        <f>Products!A293</f>
        <v>0</v>
      </c>
      <c r="B293" t="str">
        <f>IFERROR(VLOOKUP($A293,Products!$A:$G,2,FALSE),"")</f>
        <v/>
      </c>
      <c r="G293">
        <f>Products!I293</f>
        <v>0</v>
      </c>
      <c r="H293">
        <f>SUMIF(Purchases!H:H,A293,Purchases!M:M)</f>
        <v>0</v>
      </c>
      <c r="I293">
        <f>SUMIF(Sales!E:E,A293,Sales!G:G)</f>
        <v>0</v>
      </c>
      <c r="J293">
        <f>G293+H293-I293</f>
        <v>0</v>
      </c>
      <c r="K293" t="str">
        <f>IF(J293&lt;=Products!J293,"LOW STOCK","OK")</f>
        <v>LOW STOCK</v>
      </c>
    </row>
    <row r="294" spans="1:11" x14ac:dyDescent="0.25">
      <c r="A294">
        <f>Products!A294</f>
        <v>0</v>
      </c>
      <c r="B294" t="str">
        <f>IFERROR(VLOOKUP($A294,Products!$A:$G,2,FALSE),"")</f>
        <v/>
      </c>
      <c r="G294">
        <f>Products!I294</f>
        <v>0</v>
      </c>
      <c r="H294">
        <f>SUMIF(Purchases!H:H,A294,Purchases!M:M)</f>
        <v>0</v>
      </c>
      <c r="I294">
        <f>SUMIF(Sales!E:E,A294,Sales!G:G)</f>
        <v>0</v>
      </c>
      <c r="J294">
        <f>G294+H294-I294</f>
        <v>0</v>
      </c>
      <c r="K294" t="str">
        <f>IF(J294&lt;=Products!J294,"LOW STOCK","OK")</f>
        <v>LOW STOCK</v>
      </c>
    </row>
    <row r="295" spans="1:11" x14ac:dyDescent="0.25">
      <c r="A295">
        <f>Products!A295</f>
        <v>0</v>
      </c>
      <c r="B295" t="str">
        <f>IFERROR(VLOOKUP($A295,Products!$A:$G,2,FALSE),"")</f>
        <v/>
      </c>
      <c r="G295">
        <f>Products!I295</f>
        <v>0</v>
      </c>
      <c r="H295">
        <f>SUMIF(Purchases!H:H,A295,Purchases!M:M)</f>
        <v>0</v>
      </c>
      <c r="I295">
        <f>SUMIF(Sales!E:E,A295,Sales!G:G)</f>
        <v>0</v>
      </c>
      <c r="J295">
        <f>G295+H295-I295</f>
        <v>0</v>
      </c>
      <c r="K295" t="str">
        <f>IF(J295&lt;=Products!J295,"LOW STOCK","OK")</f>
        <v>LOW STOCK</v>
      </c>
    </row>
    <row r="296" spans="1:11" x14ac:dyDescent="0.25">
      <c r="A296">
        <f>Products!A296</f>
        <v>0</v>
      </c>
      <c r="B296" t="str">
        <f>IFERROR(VLOOKUP($A296,Products!$A:$G,2,FALSE),"")</f>
        <v/>
      </c>
      <c r="G296">
        <f>Products!I296</f>
        <v>0</v>
      </c>
      <c r="H296">
        <f>SUMIF(Purchases!H:H,A296,Purchases!M:M)</f>
        <v>0</v>
      </c>
      <c r="I296">
        <f>SUMIF(Sales!E:E,A296,Sales!G:G)</f>
        <v>0</v>
      </c>
      <c r="J296">
        <f>G296+H296-I296</f>
        <v>0</v>
      </c>
      <c r="K296" t="str">
        <f>IF(J296&lt;=Products!J296,"LOW STOCK","OK")</f>
        <v>LOW STOCK</v>
      </c>
    </row>
    <row r="297" spans="1:11" x14ac:dyDescent="0.25">
      <c r="A297">
        <f>Products!A297</f>
        <v>0</v>
      </c>
      <c r="B297" t="str">
        <f>IFERROR(VLOOKUP($A297,Products!$A:$G,2,FALSE),"")</f>
        <v/>
      </c>
      <c r="G297">
        <f>Products!I297</f>
        <v>0</v>
      </c>
      <c r="H297">
        <f>SUMIF(Purchases!H:H,A297,Purchases!M:M)</f>
        <v>0</v>
      </c>
      <c r="I297">
        <f>SUMIF(Sales!E:E,A297,Sales!G:G)</f>
        <v>0</v>
      </c>
      <c r="J297">
        <f>G297+H297-I297</f>
        <v>0</v>
      </c>
      <c r="K297" t="str">
        <f>IF(J297&lt;=Products!J297,"LOW STOCK","OK")</f>
        <v>LOW STOCK</v>
      </c>
    </row>
    <row r="298" spans="1:11" x14ac:dyDescent="0.25">
      <c r="A298">
        <f>Products!A298</f>
        <v>0</v>
      </c>
      <c r="B298" t="str">
        <f>IFERROR(VLOOKUP($A298,Products!$A:$G,2,FALSE),"")</f>
        <v/>
      </c>
      <c r="G298">
        <f>Products!I298</f>
        <v>0</v>
      </c>
      <c r="H298">
        <f>SUMIF(Purchases!H:H,A298,Purchases!M:M)</f>
        <v>0</v>
      </c>
      <c r="I298">
        <f>SUMIF(Sales!E:E,A298,Sales!G:G)</f>
        <v>0</v>
      </c>
      <c r="J298">
        <f>G298+H298-I298</f>
        <v>0</v>
      </c>
      <c r="K298" t="str">
        <f>IF(J298&lt;=Products!J298,"LOW STOCK","OK")</f>
        <v>LOW STOCK</v>
      </c>
    </row>
    <row r="299" spans="1:11" x14ac:dyDescent="0.25">
      <c r="A299">
        <f>Products!A299</f>
        <v>0</v>
      </c>
      <c r="B299" t="str">
        <f>IFERROR(VLOOKUP($A299,Products!$A:$G,2,FALSE),"")</f>
        <v/>
      </c>
      <c r="G299">
        <f>Products!I299</f>
        <v>0</v>
      </c>
      <c r="H299">
        <f>SUMIF(Purchases!H:H,A299,Purchases!M:M)</f>
        <v>0</v>
      </c>
      <c r="I299">
        <f>SUMIF(Sales!E:E,A299,Sales!G:G)</f>
        <v>0</v>
      </c>
      <c r="J299">
        <f>G299+H299-I299</f>
        <v>0</v>
      </c>
      <c r="K299" t="str">
        <f>IF(J299&lt;=Products!J299,"LOW STOCK","OK")</f>
        <v>LOW STOCK</v>
      </c>
    </row>
    <row r="300" spans="1:11" x14ac:dyDescent="0.25">
      <c r="A300">
        <f>Products!A300</f>
        <v>0</v>
      </c>
      <c r="B300" t="str">
        <f>IFERROR(VLOOKUP($A300,Products!$A:$G,2,FALSE),"")</f>
        <v/>
      </c>
      <c r="G300">
        <f>Products!I300</f>
        <v>0</v>
      </c>
      <c r="H300">
        <f>SUMIF(Purchases!H:H,A300,Purchases!M:M)</f>
        <v>0</v>
      </c>
      <c r="I300">
        <f>SUMIF(Sales!E:E,A300,Sales!G:G)</f>
        <v>0</v>
      </c>
      <c r="J300">
        <f>G300+H300-I300</f>
        <v>0</v>
      </c>
      <c r="K300" t="str">
        <f>IF(J300&lt;=Products!J300,"LOW STOCK","OK")</f>
        <v>LOW STOCK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5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86</v>
      </c>
    </row>
    <row r="3" spans="1:1" x14ac:dyDescent="0.25">
      <c r="A3" t="s">
        <v>32</v>
      </c>
    </row>
    <row r="5" spans="1:1" x14ac:dyDescent="0.25">
      <c r="A5" t="s">
        <v>33</v>
      </c>
    </row>
    <row r="15" spans="1:1" x14ac:dyDescent="0.25">
      <c r="A1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Products</vt:lpstr>
      <vt:lpstr>Customers</vt:lpstr>
      <vt:lpstr>Suppliers</vt:lpstr>
      <vt:lpstr>Sales</vt:lpstr>
      <vt:lpstr>Purchases</vt:lpstr>
      <vt:lpstr>Inventory</vt:lpstr>
      <vt:lpstr>Thermal_Receipt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Ghufran Ashfaq</cp:lastModifiedBy>
  <dcterms:created xsi:type="dcterms:W3CDTF">2026-05-29T09:46:15Z</dcterms:created>
  <dcterms:modified xsi:type="dcterms:W3CDTF">2026-06-14T03:45:06Z</dcterms:modified>
</cp:coreProperties>
</file>
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c&amp;Desk\Desktop\shop\"/>
    </mc:Choice>
  </mc:AlternateContent>
  <xr:revisionPtr revIDLastSave="0" documentId="13_ncr:1_{BA432E0C-A25A-4836-8E22-241DF37F05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0Sep26 (2)" sheetId="8" r:id="rId1"/>
  </sheets>
  <definedNames>
    <definedName name="_xlnm._FilterDatabase" localSheetId="0" hidden="1">'30Sep26 (2)'!$A$1:$H$106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2" i="8"/>
  <c r="F93" i="8"/>
</calcChain>
</file>

<file path=xl/sharedStrings.xml><?xml version="1.0" encoding="utf-8"?>
<sst xmlns="http://schemas.openxmlformats.org/spreadsheetml/2006/main" count="418" uniqueCount="241">
  <si>
    <t>Bajra Maxi 16/22</t>
  </si>
  <si>
    <t>Organza 30/36</t>
  </si>
  <si>
    <t>Western</t>
  </si>
  <si>
    <t>Silk Bunch</t>
  </si>
  <si>
    <t>Silk Boring</t>
  </si>
  <si>
    <t>Silk Same Dupatta</t>
  </si>
  <si>
    <t>R/Silk Kareena 30/36</t>
  </si>
  <si>
    <t>T-Shirt</t>
  </si>
  <si>
    <t>Pent</t>
  </si>
  <si>
    <t>14-Aug Dupatta</t>
  </si>
  <si>
    <t>Brand</t>
  </si>
  <si>
    <t>Category</t>
  </si>
  <si>
    <t>Cost</t>
  </si>
  <si>
    <t>RJ</t>
  </si>
  <si>
    <t>AJ</t>
  </si>
  <si>
    <t>MG</t>
  </si>
  <si>
    <t>DB</t>
  </si>
  <si>
    <t>SK</t>
  </si>
  <si>
    <t>WH</t>
  </si>
  <si>
    <t>HS</t>
  </si>
  <si>
    <t>KF</t>
  </si>
  <si>
    <t>Kr Pan Border Contrast Maxi</t>
  </si>
  <si>
    <t>Kr Sitara W/O Border Maxi</t>
  </si>
  <si>
    <t>Kr D Gher Front Back Maxi</t>
  </si>
  <si>
    <t>Kr Chand Maxi 24/30</t>
  </si>
  <si>
    <t>Kr Suraj Maxi 32/38</t>
  </si>
  <si>
    <t>Kr H.W Latken Maxi</t>
  </si>
  <si>
    <t>Kr H.W Jaal Maxi</t>
  </si>
  <si>
    <t>Kr Pintex Maxi</t>
  </si>
  <si>
    <t>Kr Pintex Glitter Maxi</t>
  </si>
  <si>
    <t>Kr Pan Gala Short Frock</t>
  </si>
  <si>
    <t>Kr H.W Roman Gala Maxi</t>
  </si>
  <si>
    <t>Kr Chand Maxi</t>
  </si>
  <si>
    <t>Kr Pan Border Maxi</t>
  </si>
  <si>
    <t>Kr Jaal Border Maxi</t>
  </si>
  <si>
    <t>Kr Foam Maxi</t>
  </si>
  <si>
    <t>Kr Cutwork Maxi</t>
  </si>
  <si>
    <t>Kr Bajra Burqa Maxi</t>
  </si>
  <si>
    <t>Kr Suraj Maxi</t>
  </si>
  <si>
    <t>Sheesha Silk Angrakha</t>
  </si>
  <si>
    <t>Kr H.W Crush Flapper</t>
  </si>
  <si>
    <t>Kr Printed Maxi</t>
  </si>
  <si>
    <t>Western Printed 2pcs</t>
  </si>
  <si>
    <t>Org NS-52</t>
  </si>
  <si>
    <t>Kr D-430 Long Shirt Sequence 3pcs</t>
  </si>
  <si>
    <t>Bin Saeed W/O Patti 3pcs</t>
  </si>
  <si>
    <t>Bin Saeed Finish Patti 3pcs</t>
  </si>
  <si>
    <t>Bin Saeed Farshi 3pcs</t>
  </si>
  <si>
    <t>Silk Anda</t>
  </si>
  <si>
    <t>Kr Frock 3pcs Defected RJ</t>
  </si>
  <si>
    <t>Bin Saeed Finish Patti 2pcs</t>
  </si>
  <si>
    <t>R/Silk Digital Print</t>
  </si>
  <si>
    <t>Org Sindhi</t>
  </si>
  <si>
    <t>BJ Lawn 3pcs</t>
  </si>
  <si>
    <t>Bajra Maxi 3pcs</t>
  </si>
  <si>
    <t>Kr Jaal Border Maxi 16/22</t>
  </si>
  <si>
    <t>Kr Pan Border Maxi 16/22</t>
  </si>
  <si>
    <t>Western 2pcs 24/34</t>
  </si>
  <si>
    <t>Kr Carry Jaal Maxi 24/30</t>
  </si>
  <si>
    <t>Kr Pan Border Maxi 24/30</t>
  </si>
  <si>
    <t>Kr Jaal Border Maxi 24/30</t>
  </si>
  <si>
    <t>Kr Carry Jaal Maxi 32/38</t>
  </si>
  <si>
    <t>Kr Pintex Maxi 32/38</t>
  </si>
  <si>
    <t>Kr SF-24 30/36</t>
  </si>
  <si>
    <t>Khaadi 30/36</t>
  </si>
  <si>
    <t>Org Jaal 3pcs</t>
  </si>
  <si>
    <t xml:space="preserve">D-368 </t>
  </si>
  <si>
    <t>Org Cutdana NS-90</t>
  </si>
  <si>
    <t>Org Airline Old</t>
  </si>
  <si>
    <t>NS-470</t>
  </si>
  <si>
    <t>R/Silk Simple</t>
  </si>
  <si>
    <t>Cotton Silk 3pcs</t>
  </si>
  <si>
    <t>Kr Printed Dupatta</t>
  </si>
  <si>
    <t xml:space="preserve">Org Press Nug </t>
  </si>
  <si>
    <t>Sequence Multi</t>
  </si>
  <si>
    <t>Silk Multi Plazo</t>
  </si>
  <si>
    <t>Cotton Touching 3pcs</t>
  </si>
  <si>
    <t>R/Silk Printed Dupatta</t>
  </si>
  <si>
    <t>SF-4</t>
  </si>
  <si>
    <t>Kr Angrakha Gharara</t>
  </si>
  <si>
    <t>R/Silk Booti</t>
  </si>
  <si>
    <t>Shefon Coat</t>
  </si>
  <si>
    <t>SF Bajra</t>
  </si>
  <si>
    <t>SF-21</t>
  </si>
  <si>
    <t>R/Silk Old</t>
  </si>
  <si>
    <t>R/Silk Plazo</t>
  </si>
  <si>
    <t>Org Airline New</t>
  </si>
  <si>
    <t>Jackard Cotton 3pcs</t>
  </si>
  <si>
    <t>Western Plain 2pcs</t>
  </si>
  <si>
    <t>Hania Amir Printed Maxi</t>
  </si>
  <si>
    <t>MG Box Viral Print 3pcs</t>
  </si>
  <si>
    <t>China Dori Half Maxi</t>
  </si>
  <si>
    <t>China Dori Lehenga</t>
  </si>
  <si>
    <t>China Sequence Coat Lehenga</t>
  </si>
  <si>
    <t>Debaj 2600</t>
  </si>
  <si>
    <t>Debaj 2750</t>
  </si>
  <si>
    <t>Debaj 2250</t>
  </si>
  <si>
    <t>Debaj 1600</t>
  </si>
  <si>
    <t>Debaj 1950</t>
  </si>
  <si>
    <t>Debaj 2050</t>
  </si>
  <si>
    <t>AR 2pcs</t>
  </si>
  <si>
    <t>14-Aug Shirt Plazo 2pcs</t>
  </si>
  <si>
    <t>14-Aug Western 2pcs</t>
  </si>
  <si>
    <t>14-Aug Chicken Kari 2pcs</t>
  </si>
  <si>
    <t>14-Aug Cotton 2pcs</t>
  </si>
  <si>
    <t>14-Aug Debaj</t>
  </si>
  <si>
    <t>14-Aug MG</t>
  </si>
  <si>
    <t>14-Aug Krinkle 24/30</t>
  </si>
  <si>
    <t>14-Aug Krinkle 32/38</t>
  </si>
  <si>
    <t>14-Aug Krinkle 40/42</t>
  </si>
  <si>
    <t>Pents</t>
  </si>
  <si>
    <t>AR Printed Codset 2pcs</t>
  </si>
  <si>
    <t>Printed 2pcs Citi</t>
  </si>
  <si>
    <t>MY</t>
  </si>
  <si>
    <t>NH</t>
  </si>
  <si>
    <t>RK</t>
  </si>
  <si>
    <t>AH</t>
  </si>
  <si>
    <t>AR</t>
  </si>
  <si>
    <t>IB</t>
  </si>
  <si>
    <t>CITI</t>
  </si>
  <si>
    <t>Sarte 2pcs</t>
  </si>
  <si>
    <t>Malbo 2pcs</t>
  </si>
  <si>
    <t>MB</t>
  </si>
  <si>
    <t>Silk Flapper Bunch</t>
  </si>
  <si>
    <t>Lawn</t>
  </si>
  <si>
    <t>Jersey</t>
  </si>
  <si>
    <t>Ot</t>
  </si>
  <si>
    <t>Cotton</t>
  </si>
  <si>
    <t>Banodora</t>
  </si>
  <si>
    <t>Sale</t>
  </si>
  <si>
    <t>Fancy</t>
  </si>
  <si>
    <t>KF-0001</t>
  </si>
  <si>
    <t>KF-0002</t>
  </si>
  <si>
    <t>KF-0003</t>
  </si>
  <si>
    <t>KF-0004</t>
  </si>
  <si>
    <t>KF-0005</t>
  </si>
  <si>
    <t>KF-0006</t>
  </si>
  <si>
    <t>KF-0007</t>
  </si>
  <si>
    <t>KF-0008</t>
  </si>
  <si>
    <t>KF-0009</t>
  </si>
  <si>
    <t>KF-0010</t>
  </si>
  <si>
    <t>KF-0011</t>
  </si>
  <si>
    <t>KF-0012</t>
  </si>
  <si>
    <t>KF-0013</t>
  </si>
  <si>
    <t>KF-0014</t>
  </si>
  <si>
    <t>KF-0015</t>
  </si>
  <si>
    <t>KF-0016</t>
  </si>
  <si>
    <t>KF-0017</t>
  </si>
  <si>
    <t>KF-0018</t>
  </si>
  <si>
    <t>KF-0019</t>
  </si>
  <si>
    <t>KF-0020</t>
  </si>
  <si>
    <t>KF-0021</t>
  </si>
  <si>
    <t>KF-0022</t>
  </si>
  <si>
    <t>KF-0023</t>
  </si>
  <si>
    <t>KF-0024</t>
  </si>
  <si>
    <t>KF-0025</t>
  </si>
  <si>
    <t>KF-0026</t>
  </si>
  <si>
    <t>KF-0027</t>
  </si>
  <si>
    <t>KF-0028</t>
  </si>
  <si>
    <t>KF-0029</t>
  </si>
  <si>
    <t>KF-0030</t>
  </si>
  <si>
    <t>KF-0031</t>
  </si>
  <si>
    <t>KF-0032</t>
  </si>
  <si>
    <t>KF-0033</t>
  </si>
  <si>
    <t>KF-0034</t>
  </si>
  <si>
    <t>KF-0035</t>
  </si>
  <si>
    <t>KF-0036</t>
  </si>
  <si>
    <t>KF-0037</t>
  </si>
  <si>
    <t>KF-0038</t>
  </si>
  <si>
    <t>KF-0039</t>
  </si>
  <si>
    <t>KF-0040</t>
  </si>
  <si>
    <t>KF-0041</t>
  </si>
  <si>
    <t>KF-0042</t>
  </si>
  <si>
    <t>KF-0043</t>
  </si>
  <si>
    <t>KF-0044</t>
  </si>
  <si>
    <t>KF-0045</t>
  </si>
  <si>
    <t>KF-0046</t>
  </si>
  <si>
    <t>KF-0047</t>
  </si>
  <si>
    <t>KF-0048</t>
  </si>
  <si>
    <t>KF-0049</t>
  </si>
  <si>
    <t>KF-0050</t>
  </si>
  <si>
    <t>KF-0051</t>
  </si>
  <si>
    <t>KF-0052</t>
  </si>
  <si>
    <t>KF-0053</t>
  </si>
  <si>
    <t>KF-0054</t>
  </si>
  <si>
    <t>KF-0055</t>
  </si>
  <si>
    <t>KF-0056</t>
  </si>
  <si>
    <t>KF-0057</t>
  </si>
  <si>
    <t>KF-0058</t>
  </si>
  <si>
    <t>KF-0059</t>
  </si>
  <si>
    <t>KF-0060</t>
  </si>
  <si>
    <t>KF-0061</t>
  </si>
  <si>
    <t>KF-0062</t>
  </si>
  <si>
    <t>KF-0063</t>
  </si>
  <si>
    <t>KF-0064</t>
  </si>
  <si>
    <t>KF-0065</t>
  </si>
  <si>
    <t>KF-0066</t>
  </si>
  <si>
    <t>KF-0067</t>
  </si>
  <si>
    <t>KF-0068</t>
  </si>
  <si>
    <t>KF-0069</t>
  </si>
  <si>
    <t>KF-0070</t>
  </si>
  <si>
    <t>KF-0071</t>
  </si>
  <si>
    <t>KF-0072</t>
  </si>
  <si>
    <t>KF-0073</t>
  </si>
  <si>
    <t>KF-0074</t>
  </si>
  <si>
    <t>KF-0075</t>
  </si>
  <si>
    <t>KF-0076</t>
  </si>
  <si>
    <t>KF-0077</t>
  </si>
  <si>
    <t>KF-0078</t>
  </si>
  <si>
    <t>KF-0079</t>
  </si>
  <si>
    <t>KF-0080</t>
  </si>
  <si>
    <t>KF-0081</t>
  </si>
  <si>
    <t>KF-0082</t>
  </si>
  <si>
    <t>KF-0083</t>
  </si>
  <si>
    <t>KF-0084</t>
  </si>
  <si>
    <t>KF-0085</t>
  </si>
  <si>
    <t>KF-0086</t>
  </si>
  <si>
    <t>KF-0087</t>
  </si>
  <si>
    <t>KF-0088</t>
  </si>
  <si>
    <t>KF-0089</t>
  </si>
  <si>
    <t>KF-0090</t>
  </si>
  <si>
    <t>KF-0091</t>
  </si>
  <si>
    <t>KF-0092</t>
  </si>
  <si>
    <t>KF-0093</t>
  </si>
  <si>
    <t>KF-0094</t>
  </si>
  <si>
    <t>KF-0095</t>
  </si>
  <si>
    <t>KF-0096</t>
  </si>
  <si>
    <t>KF-0097</t>
  </si>
  <si>
    <t>KF-0098</t>
  </si>
  <si>
    <t>KF-0099</t>
  </si>
  <si>
    <t>KF-0100</t>
  </si>
  <si>
    <t>KF-0101</t>
  </si>
  <si>
    <t>KF-0102</t>
  </si>
  <si>
    <t>KF-0103</t>
  </si>
  <si>
    <t>KF-0104</t>
  </si>
  <si>
    <t>KF-0105</t>
  </si>
  <si>
    <t>Low Stock Alert</t>
  </si>
  <si>
    <t>Stock</t>
  </si>
  <si>
    <t>Retail</t>
  </si>
  <si>
    <t>Barcode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</si>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</sst>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B71E-FAE0-4F00-83E6-811908539A5C}">
  <dimension ref="A1:H106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0.140625" style="3" bestFit="1" customWidth="1"/>
    <col min="2" max="2" width="38.7109375" style="3" customWidth="1"/>
    <col min="3" max="3" width="8.42578125" style="3" customWidth="1"/>
    <col min="4" max="4" width="8.85546875" style="3" customWidth="1"/>
    <col min="5" max="5" width="9.7109375" style="3" customWidth="1"/>
    <col min="6" max="6" width="9.140625" style="3" customWidth="1"/>
    <col min="7" max="7" width="11" style="3" customWidth="1"/>
    <col min="8" max="16384" width="9.140625" style="3"/>
  </cols>
  <sheetData>
    <row r="1" spans="1:8" x14ac:dyDescent="0.25">
      <c r="A1" s="1" t="s">
        <v>239</v>
      </c>
      <c r="B1" s="1" t="s">
        <v>240</v>
      </c>
      <c r="C1" s="2" t="s">
        <v>10</v>
      </c>
      <c r="D1" s="2" t="s">
        <v>11</v>
      </c>
      <c r="E1" s="2" t="s">
        <v>236</v>
      </c>
      <c r="F1" s="1" t="s">
        <v>237</v>
      </c>
      <c r="G1" s="2" t="s">
        <v>12</v>
      </c>
      <c r="H1" s="2" t="s">
        <v>238</v>
      </c>
    </row>
    <row r="2" spans="1:8" x14ac:dyDescent="0.25">
      <c r="A2" s="3" t="s">
        <v>131</v>
      </c>
      <c r="B2" s="3" t="s">
        <v>22</v>
      </c>
      <c r="C2" s="3" t="s">
        <v>13</v>
      </c>
      <c r="D2" s="3" t="s">
        <v>130</v>
      </c>
      <c r="E2" s="3">
        <v>6</v>
      </c>
      <c r="F2" s="3">
        <v>27</v>
      </c>
      <c r="G2" s="3">
        <v>2400</v>
      </c>
      <c r="H2" s="3">
        <f>+G2*1.3</f>
        <v>3120</v>
      </c>
    </row>
    <row r="3" spans="1:8" x14ac:dyDescent="0.25">
      <c r="A3" s="3" t="s">
        <v>132</v>
      </c>
      <c r="B3" s="3" t="s">
        <v>21</v>
      </c>
      <c r="C3" s="3" t="s">
        <v>13</v>
      </c>
      <c r="D3" s="3" t="s">
        <v>130</v>
      </c>
      <c r="E3" s="3">
        <v>6</v>
      </c>
      <c r="F3" s="3">
        <v>1</v>
      </c>
      <c r="G3" s="3">
        <v>2500</v>
      </c>
      <c r="H3" s="3">
        <f t="shared" ref="H3:H66" si="0">+G3*1.3</f>
        <v>3250</v>
      </c>
    </row>
    <row r="4" spans="1:8" x14ac:dyDescent="0.25">
      <c r="A4" s="3" t="s">
        <v>133</v>
      </c>
      <c r="B4" s="3" t="s">
        <v>23</v>
      </c>
      <c r="C4" s="3" t="s">
        <v>13</v>
      </c>
      <c r="D4" s="3" t="s">
        <v>130</v>
      </c>
      <c r="E4" s="3">
        <v>6</v>
      </c>
      <c r="F4" s="3">
        <v>5</v>
      </c>
      <c r="G4" s="3">
        <v>2200</v>
      </c>
      <c r="H4" s="3">
        <f t="shared" si="0"/>
        <v>2860</v>
      </c>
    </row>
    <row r="5" spans="1:8" x14ac:dyDescent="0.25">
      <c r="A5" s="3" t="s">
        <v>134</v>
      </c>
      <c r="B5" s="3" t="s">
        <v>24</v>
      </c>
      <c r="C5" s="3" t="s">
        <v>13</v>
      </c>
      <c r="D5" s="3" t="s">
        <v>130</v>
      </c>
      <c r="E5" s="3">
        <v>6</v>
      </c>
      <c r="F5" s="3">
        <v>24</v>
      </c>
      <c r="G5" s="3">
        <v>1200</v>
      </c>
      <c r="H5" s="3">
        <f t="shared" si="0"/>
        <v>1560</v>
      </c>
    </row>
    <row r="6" spans="1:8" x14ac:dyDescent="0.25">
      <c r="A6" s="3" t="s">
        <v>135</v>
      </c>
      <c r="B6" s="3" t="s">
        <v>25</v>
      </c>
      <c r="C6" s="3" t="s">
        <v>13</v>
      </c>
      <c r="D6" s="3" t="s">
        <v>130</v>
      </c>
      <c r="E6" s="3">
        <v>6</v>
      </c>
      <c r="F6" s="3">
        <v>4</v>
      </c>
      <c r="G6" s="3">
        <v>1600</v>
      </c>
      <c r="H6" s="3">
        <f t="shared" si="0"/>
        <v>2080</v>
      </c>
    </row>
    <row r="7" spans="1:8" x14ac:dyDescent="0.25">
      <c r="A7" s="3" t="s">
        <v>136</v>
      </c>
      <c r="B7" s="3" t="s">
        <v>26</v>
      </c>
      <c r="C7" s="3" t="s">
        <v>13</v>
      </c>
      <c r="D7" s="3" t="s">
        <v>130</v>
      </c>
      <c r="E7" s="3">
        <v>6</v>
      </c>
      <c r="F7" s="3">
        <v>23</v>
      </c>
      <c r="G7" s="3">
        <v>2100</v>
      </c>
      <c r="H7" s="3">
        <f t="shared" si="0"/>
        <v>2730</v>
      </c>
    </row>
    <row r="8" spans="1:8" x14ac:dyDescent="0.25">
      <c r="A8" s="3" t="s">
        <v>137</v>
      </c>
      <c r="B8" s="3" t="s">
        <v>27</v>
      </c>
      <c r="C8" s="3" t="s">
        <v>13</v>
      </c>
      <c r="D8" s="3" t="s">
        <v>130</v>
      </c>
      <c r="E8" s="3">
        <v>6</v>
      </c>
      <c r="F8" s="3">
        <v>10</v>
      </c>
      <c r="G8" s="3">
        <v>2800</v>
      </c>
      <c r="H8" s="3">
        <f t="shared" si="0"/>
        <v>3640</v>
      </c>
    </row>
    <row r="9" spans="1:8" x14ac:dyDescent="0.25">
      <c r="A9" s="3" t="s">
        <v>138</v>
      </c>
      <c r="B9" s="3" t="s">
        <v>28</v>
      </c>
      <c r="C9" s="3" t="s">
        <v>13</v>
      </c>
      <c r="D9" s="3" t="s">
        <v>130</v>
      </c>
      <c r="E9" s="3">
        <v>6</v>
      </c>
      <c r="F9" s="3">
        <v>27</v>
      </c>
      <c r="G9" s="3">
        <v>1500</v>
      </c>
      <c r="H9" s="3">
        <f t="shared" si="0"/>
        <v>1950</v>
      </c>
    </row>
    <row r="10" spans="1:8" x14ac:dyDescent="0.25">
      <c r="A10" s="3" t="s">
        <v>139</v>
      </c>
      <c r="B10" s="3" t="s">
        <v>29</v>
      </c>
      <c r="C10" s="3" t="s">
        <v>13</v>
      </c>
      <c r="D10" s="3" t="s">
        <v>130</v>
      </c>
      <c r="E10" s="3">
        <v>6</v>
      </c>
      <c r="F10" s="3">
        <v>2</v>
      </c>
      <c r="G10" s="3">
        <v>1500</v>
      </c>
      <c r="H10" s="3">
        <f t="shared" si="0"/>
        <v>1950</v>
      </c>
    </row>
    <row r="11" spans="1:8" x14ac:dyDescent="0.25">
      <c r="A11" s="3" t="s">
        <v>140</v>
      </c>
      <c r="B11" s="3" t="s">
        <v>30</v>
      </c>
      <c r="C11" s="3" t="s">
        <v>13</v>
      </c>
      <c r="D11" s="3" t="s">
        <v>130</v>
      </c>
      <c r="E11" s="3">
        <v>6</v>
      </c>
      <c r="F11" s="3">
        <v>8</v>
      </c>
      <c r="G11" s="3">
        <v>1700</v>
      </c>
      <c r="H11" s="3">
        <f t="shared" si="0"/>
        <v>2210</v>
      </c>
    </row>
    <row r="12" spans="1:8" x14ac:dyDescent="0.25">
      <c r="A12" s="3" t="s">
        <v>141</v>
      </c>
      <c r="B12" s="3" t="s">
        <v>31</v>
      </c>
      <c r="C12" s="3" t="s">
        <v>13</v>
      </c>
      <c r="D12" s="3" t="s">
        <v>130</v>
      </c>
      <c r="E12" s="3">
        <v>6</v>
      </c>
      <c r="F12" s="3">
        <v>3</v>
      </c>
      <c r="G12" s="3">
        <v>2800</v>
      </c>
      <c r="H12" s="3">
        <f t="shared" si="0"/>
        <v>3640</v>
      </c>
    </row>
    <row r="13" spans="1:8" x14ac:dyDescent="0.25">
      <c r="A13" s="3" t="s">
        <v>142</v>
      </c>
      <c r="B13" s="3" t="s">
        <v>32</v>
      </c>
      <c r="C13" s="3" t="s">
        <v>13</v>
      </c>
      <c r="D13" s="3" t="s">
        <v>130</v>
      </c>
      <c r="E13" s="3">
        <v>6</v>
      </c>
      <c r="F13" s="3">
        <v>26</v>
      </c>
      <c r="G13" s="3">
        <v>1900</v>
      </c>
      <c r="H13" s="3">
        <f t="shared" si="0"/>
        <v>2470</v>
      </c>
    </row>
    <row r="14" spans="1:8" x14ac:dyDescent="0.25">
      <c r="A14" s="3" t="s">
        <v>143</v>
      </c>
      <c r="B14" s="3" t="s">
        <v>33</v>
      </c>
      <c r="C14" s="3" t="s">
        <v>13</v>
      </c>
      <c r="D14" s="3" t="s">
        <v>130</v>
      </c>
      <c r="E14" s="3">
        <v>6</v>
      </c>
      <c r="F14" s="3">
        <v>26</v>
      </c>
      <c r="G14" s="3">
        <v>2450</v>
      </c>
      <c r="H14" s="3">
        <f t="shared" si="0"/>
        <v>3185</v>
      </c>
    </row>
    <row r="15" spans="1:8" x14ac:dyDescent="0.25">
      <c r="A15" s="3" t="s">
        <v>144</v>
      </c>
      <c r="B15" s="3" t="s">
        <v>34</v>
      </c>
      <c r="C15" s="3" t="s">
        <v>13</v>
      </c>
      <c r="D15" s="3" t="s">
        <v>130</v>
      </c>
      <c r="E15" s="3">
        <v>6</v>
      </c>
      <c r="F15" s="3">
        <v>20</v>
      </c>
      <c r="G15" s="3">
        <v>2600</v>
      </c>
      <c r="H15" s="3">
        <f t="shared" si="0"/>
        <v>3380</v>
      </c>
    </row>
    <row r="16" spans="1:8" x14ac:dyDescent="0.25">
      <c r="A16" s="3" t="s">
        <v>145</v>
      </c>
      <c r="B16" s="3" t="s">
        <v>35</v>
      </c>
      <c r="C16" s="3" t="s">
        <v>13</v>
      </c>
      <c r="D16" s="3" t="s">
        <v>130</v>
      </c>
      <c r="E16" s="3">
        <v>6</v>
      </c>
      <c r="F16" s="3">
        <v>3</v>
      </c>
      <c r="G16" s="3">
        <v>2200</v>
      </c>
      <c r="H16" s="3">
        <f t="shared" si="0"/>
        <v>2860</v>
      </c>
    </row>
    <row r="17" spans="1:8" x14ac:dyDescent="0.25">
      <c r="A17" s="3" t="s">
        <v>146</v>
      </c>
      <c r="B17" s="3" t="s">
        <v>36</v>
      </c>
      <c r="C17" s="3" t="s">
        <v>13</v>
      </c>
      <c r="D17" s="3" t="s">
        <v>130</v>
      </c>
      <c r="E17" s="3">
        <v>6</v>
      </c>
      <c r="F17" s="3">
        <v>3</v>
      </c>
      <c r="G17" s="3">
        <v>2300</v>
      </c>
      <c r="H17" s="3">
        <f t="shared" si="0"/>
        <v>2990</v>
      </c>
    </row>
    <row r="18" spans="1:8" x14ac:dyDescent="0.25">
      <c r="A18" s="3" t="s">
        <v>147</v>
      </c>
      <c r="B18" s="3" t="s">
        <v>37</v>
      </c>
      <c r="C18" s="3" t="s">
        <v>13</v>
      </c>
      <c r="D18" s="3" t="s">
        <v>130</v>
      </c>
      <c r="E18" s="3">
        <v>6</v>
      </c>
      <c r="F18" s="3">
        <v>15</v>
      </c>
      <c r="G18" s="3">
        <v>2200</v>
      </c>
      <c r="H18" s="3">
        <f t="shared" si="0"/>
        <v>2860</v>
      </c>
    </row>
    <row r="19" spans="1:8" x14ac:dyDescent="0.25">
      <c r="A19" s="3" t="s">
        <v>148</v>
      </c>
      <c r="B19" s="3" t="s">
        <v>38</v>
      </c>
      <c r="C19" s="3" t="s">
        <v>13</v>
      </c>
      <c r="D19" s="3" t="s">
        <v>130</v>
      </c>
      <c r="E19" s="3">
        <v>6</v>
      </c>
      <c r="F19" s="3">
        <v>1</v>
      </c>
      <c r="G19" s="3">
        <v>2250</v>
      </c>
      <c r="H19" s="3">
        <f t="shared" si="0"/>
        <v>2925</v>
      </c>
    </row>
    <row r="20" spans="1:8" x14ac:dyDescent="0.25">
      <c r="A20" s="3" t="s">
        <v>149</v>
      </c>
      <c r="B20" s="3" t="s">
        <v>39</v>
      </c>
      <c r="C20" s="3" t="s">
        <v>13</v>
      </c>
      <c r="D20" s="3" t="s">
        <v>130</v>
      </c>
      <c r="E20" s="3">
        <v>6</v>
      </c>
      <c r="F20" s="3">
        <v>5</v>
      </c>
      <c r="G20" s="3">
        <v>3500</v>
      </c>
      <c r="H20" s="3">
        <f t="shared" si="0"/>
        <v>4550</v>
      </c>
    </row>
    <row r="21" spans="1:8" x14ac:dyDescent="0.25">
      <c r="A21" s="3" t="s">
        <v>150</v>
      </c>
      <c r="B21" s="3" t="s">
        <v>40</v>
      </c>
      <c r="C21" s="3" t="s">
        <v>14</v>
      </c>
      <c r="D21" s="3" t="s">
        <v>130</v>
      </c>
      <c r="E21" s="3">
        <v>6</v>
      </c>
      <c r="F21" s="3">
        <v>40</v>
      </c>
      <c r="G21" s="3">
        <v>2800</v>
      </c>
      <c r="H21" s="3">
        <f t="shared" si="0"/>
        <v>3640</v>
      </c>
    </row>
    <row r="22" spans="1:8" x14ac:dyDescent="0.25">
      <c r="A22" s="3" t="s">
        <v>151</v>
      </c>
      <c r="B22" s="3" t="s">
        <v>41</v>
      </c>
      <c r="C22" s="3" t="s">
        <v>13</v>
      </c>
      <c r="D22" s="3" t="s">
        <v>130</v>
      </c>
      <c r="E22" s="3">
        <v>6</v>
      </c>
      <c r="F22" s="3">
        <v>7</v>
      </c>
      <c r="G22" s="3">
        <v>2200</v>
      </c>
      <c r="H22" s="3">
        <f t="shared" si="0"/>
        <v>2860</v>
      </c>
    </row>
    <row r="23" spans="1:8" x14ac:dyDescent="0.25">
      <c r="A23" s="3" t="s">
        <v>152</v>
      </c>
      <c r="B23" s="3" t="s">
        <v>42</v>
      </c>
      <c r="C23" s="3" t="s">
        <v>113</v>
      </c>
      <c r="D23" s="3" t="s">
        <v>2</v>
      </c>
      <c r="E23" s="3">
        <v>6</v>
      </c>
      <c r="F23" s="3">
        <v>34</v>
      </c>
      <c r="G23" s="3">
        <v>1350</v>
      </c>
      <c r="H23" s="3">
        <f t="shared" si="0"/>
        <v>1755</v>
      </c>
    </row>
    <row r="24" spans="1:8" x14ac:dyDescent="0.25">
      <c r="A24" s="3" t="s">
        <v>153</v>
      </c>
      <c r="B24" s="3" t="s">
        <v>43</v>
      </c>
      <c r="C24" s="3" t="s">
        <v>114</v>
      </c>
      <c r="D24" s="3" t="s">
        <v>130</v>
      </c>
      <c r="E24" s="3">
        <v>6</v>
      </c>
      <c r="F24" s="3">
        <v>24</v>
      </c>
      <c r="G24" s="3">
        <v>2100</v>
      </c>
      <c r="H24" s="3">
        <f t="shared" si="0"/>
        <v>2730</v>
      </c>
    </row>
    <row r="25" spans="1:8" x14ac:dyDescent="0.25">
      <c r="A25" s="3" t="s">
        <v>154</v>
      </c>
      <c r="B25" s="3" t="s">
        <v>44</v>
      </c>
      <c r="C25" s="3" t="s">
        <v>114</v>
      </c>
      <c r="D25" s="3" t="s">
        <v>130</v>
      </c>
      <c r="E25" s="3">
        <v>6</v>
      </c>
      <c r="F25" s="3">
        <v>41</v>
      </c>
      <c r="G25" s="3">
        <v>2500</v>
      </c>
      <c r="H25" s="3">
        <f t="shared" si="0"/>
        <v>3250</v>
      </c>
    </row>
    <row r="26" spans="1:8" x14ac:dyDescent="0.25">
      <c r="A26" s="3" t="s">
        <v>155</v>
      </c>
      <c r="B26" s="3" t="s">
        <v>3</v>
      </c>
      <c r="C26" s="3" t="s">
        <v>19</v>
      </c>
      <c r="D26" s="3" t="s">
        <v>130</v>
      </c>
      <c r="E26" s="3">
        <v>6</v>
      </c>
      <c r="F26" s="3">
        <v>23</v>
      </c>
      <c r="G26" s="3">
        <v>2750</v>
      </c>
      <c r="H26" s="3">
        <f t="shared" si="0"/>
        <v>3575</v>
      </c>
    </row>
    <row r="27" spans="1:8" x14ac:dyDescent="0.25">
      <c r="A27" s="3" t="s">
        <v>156</v>
      </c>
      <c r="B27" s="3" t="s">
        <v>45</v>
      </c>
      <c r="C27" s="3" t="s">
        <v>18</v>
      </c>
      <c r="D27" s="3" t="s">
        <v>124</v>
      </c>
      <c r="E27" s="3">
        <v>6</v>
      </c>
      <c r="F27" s="3">
        <v>22</v>
      </c>
      <c r="G27" s="3">
        <v>2150</v>
      </c>
      <c r="H27" s="3">
        <f t="shared" si="0"/>
        <v>2795</v>
      </c>
    </row>
    <row r="28" spans="1:8" x14ac:dyDescent="0.25">
      <c r="A28" s="3" t="s">
        <v>157</v>
      </c>
      <c r="B28" s="3" t="s">
        <v>46</v>
      </c>
      <c r="C28" s="3" t="s">
        <v>18</v>
      </c>
      <c r="D28" s="3" t="s">
        <v>124</v>
      </c>
      <c r="E28" s="3">
        <v>6</v>
      </c>
      <c r="F28" s="3">
        <v>11</v>
      </c>
      <c r="G28" s="3">
        <v>2300</v>
      </c>
      <c r="H28" s="3">
        <f t="shared" si="0"/>
        <v>2990</v>
      </c>
    </row>
    <row r="29" spans="1:8" x14ac:dyDescent="0.25">
      <c r="A29" s="3" t="s">
        <v>158</v>
      </c>
      <c r="B29" s="3" t="s">
        <v>47</v>
      </c>
      <c r="C29" s="3" t="s">
        <v>18</v>
      </c>
      <c r="D29" s="3" t="s">
        <v>124</v>
      </c>
      <c r="E29" s="3">
        <v>6</v>
      </c>
      <c r="F29" s="3">
        <v>11</v>
      </c>
      <c r="G29" s="3">
        <v>2400</v>
      </c>
      <c r="H29" s="3">
        <f t="shared" si="0"/>
        <v>3120</v>
      </c>
    </row>
    <row r="30" spans="1:8" x14ac:dyDescent="0.25">
      <c r="A30" s="3" t="s">
        <v>159</v>
      </c>
      <c r="B30" s="3" t="s">
        <v>7</v>
      </c>
      <c r="C30" s="3" t="s">
        <v>20</v>
      </c>
      <c r="D30" s="3" t="s">
        <v>125</v>
      </c>
      <c r="E30" s="3">
        <v>6</v>
      </c>
      <c r="F30" s="3">
        <v>35</v>
      </c>
      <c r="G30" s="3">
        <v>650</v>
      </c>
      <c r="H30" s="3">
        <f t="shared" si="0"/>
        <v>845</v>
      </c>
    </row>
    <row r="31" spans="1:8" x14ac:dyDescent="0.25">
      <c r="A31" s="3" t="s">
        <v>160</v>
      </c>
      <c r="B31" s="5" t="s">
        <v>48</v>
      </c>
      <c r="C31" s="3" t="s">
        <v>114</v>
      </c>
      <c r="D31" s="3" t="s">
        <v>130</v>
      </c>
      <c r="E31" s="3">
        <v>6</v>
      </c>
      <c r="F31" s="3">
        <v>1</v>
      </c>
      <c r="G31" s="3">
        <v>2500</v>
      </c>
      <c r="H31" s="3">
        <f t="shared" si="0"/>
        <v>3250</v>
      </c>
    </row>
    <row r="32" spans="1:8" x14ac:dyDescent="0.25">
      <c r="A32" s="3" t="s">
        <v>161</v>
      </c>
      <c r="B32" s="5" t="s">
        <v>49</v>
      </c>
      <c r="C32" s="3" t="s">
        <v>13</v>
      </c>
      <c r="D32" s="3" t="s">
        <v>130</v>
      </c>
      <c r="E32" s="3">
        <v>6</v>
      </c>
      <c r="F32" s="3">
        <v>1</v>
      </c>
      <c r="G32" s="3">
        <v>2500</v>
      </c>
      <c r="H32" s="3">
        <f t="shared" si="0"/>
        <v>3250</v>
      </c>
    </row>
    <row r="33" spans="1:8" x14ac:dyDescent="0.25">
      <c r="A33" s="3" t="s">
        <v>162</v>
      </c>
      <c r="B33" s="3" t="s">
        <v>50</v>
      </c>
      <c r="C33" s="3" t="s">
        <v>16</v>
      </c>
      <c r="D33" s="3" t="s">
        <v>124</v>
      </c>
      <c r="E33" s="3">
        <v>6</v>
      </c>
      <c r="F33" s="3">
        <v>11</v>
      </c>
      <c r="G33" s="3">
        <v>1500</v>
      </c>
      <c r="H33" s="3">
        <f t="shared" si="0"/>
        <v>1950</v>
      </c>
    </row>
    <row r="34" spans="1:8" x14ac:dyDescent="0.25">
      <c r="A34" s="3" t="s">
        <v>163</v>
      </c>
      <c r="B34" s="3" t="s">
        <v>4</v>
      </c>
      <c r="C34" s="3" t="s">
        <v>18</v>
      </c>
      <c r="D34" s="3" t="s">
        <v>130</v>
      </c>
      <c r="E34" s="3">
        <v>6</v>
      </c>
      <c r="F34" s="3">
        <v>8</v>
      </c>
      <c r="G34" s="3">
        <v>2200</v>
      </c>
      <c r="H34" s="3">
        <f t="shared" si="0"/>
        <v>2860</v>
      </c>
    </row>
    <row r="35" spans="1:8" x14ac:dyDescent="0.25">
      <c r="A35" s="3" t="s">
        <v>164</v>
      </c>
      <c r="B35" s="3" t="s">
        <v>51</v>
      </c>
      <c r="C35" s="3" t="s">
        <v>114</v>
      </c>
      <c r="D35" s="3" t="s">
        <v>130</v>
      </c>
      <c r="E35" s="3">
        <v>6</v>
      </c>
      <c r="F35" s="3">
        <v>28</v>
      </c>
      <c r="G35" s="3">
        <v>2350</v>
      </c>
      <c r="H35" s="3">
        <f t="shared" si="0"/>
        <v>3055</v>
      </c>
    </row>
    <row r="36" spans="1:8" x14ac:dyDescent="0.25">
      <c r="A36" s="3" t="s">
        <v>165</v>
      </c>
      <c r="B36" s="3" t="s">
        <v>52</v>
      </c>
      <c r="C36" s="3" t="s">
        <v>114</v>
      </c>
      <c r="D36" s="3" t="s">
        <v>130</v>
      </c>
      <c r="E36" s="3">
        <v>6</v>
      </c>
      <c r="F36" s="3">
        <v>3</v>
      </c>
      <c r="G36" s="3">
        <v>2500</v>
      </c>
      <c r="H36" s="3">
        <f t="shared" si="0"/>
        <v>3250</v>
      </c>
    </row>
    <row r="37" spans="1:8" x14ac:dyDescent="0.25">
      <c r="A37" s="3" t="s">
        <v>166</v>
      </c>
      <c r="B37" s="3" t="s">
        <v>53</v>
      </c>
      <c r="C37" s="3" t="s">
        <v>20</v>
      </c>
      <c r="D37" s="3" t="s">
        <v>124</v>
      </c>
      <c r="E37" s="3">
        <v>6</v>
      </c>
      <c r="F37" s="3">
        <v>24</v>
      </c>
      <c r="G37" s="3">
        <v>2100</v>
      </c>
      <c r="H37" s="3">
        <f t="shared" si="0"/>
        <v>2730</v>
      </c>
    </row>
    <row r="38" spans="1:8" x14ac:dyDescent="0.25">
      <c r="A38" s="3" t="s">
        <v>167</v>
      </c>
      <c r="B38" s="3" t="s">
        <v>54</v>
      </c>
      <c r="C38" s="3" t="s">
        <v>13</v>
      </c>
      <c r="D38" s="3" t="s">
        <v>130</v>
      </c>
      <c r="E38" s="3">
        <v>6</v>
      </c>
      <c r="F38" s="3">
        <v>16</v>
      </c>
      <c r="G38" s="3">
        <v>2000</v>
      </c>
      <c r="H38" s="3">
        <f t="shared" si="0"/>
        <v>2600</v>
      </c>
    </row>
    <row r="39" spans="1:8" x14ac:dyDescent="0.25">
      <c r="A39" s="3" t="s">
        <v>168</v>
      </c>
      <c r="B39" s="3" t="s">
        <v>55</v>
      </c>
      <c r="C39" s="3" t="s">
        <v>13</v>
      </c>
      <c r="D39" s="3" t="s">
        <v>130</v>
      </c>
      <c r="E39" s="3">
        <v>6</v>
      </c>
      <c r="F39" s="3">
        <v>24</v>
      </c>
      <c r="G39" s="3">
        <v>950</v>
      </c>
      <c r="H39" s="3">
        <f t="shared" si="0"/>
        <v>1235</v>
      </c>
    </row>
    <row r="40" spans="1:8" x14ac:dyDescent="0.25">
      <c r="A40" s="3" t="s">
        <v>169</v>
      </c>
      <c r="B40" s="3" t="s">
        <v>56</v>
      </c>
      <c r="C40" s="3" t="s">
        <v>13</v>
      </c>
      <c r="D40" s="3" t="s">
        <v>130</v>
      </c>
      <c r="E40" s="3">
        <v>6</v>
      </c>
      <c r="F40" s="3">
        <v>16</v>
      </c>
      <c r="G40" s="3">
        <v>950</v>
      </c>
      <c r="H40" s="3">
        <f t="shared" si="0"/>
        <v>1235</v>
      </c>
    </row>
    <row r="41" spans="1:8" x14ac:dyDescent="0.25">
      <c r="A41" s="3" t="s">
        <v>170</v>
      </c>
      <c r="B41" s="3" t="s">
        <v>57</v>
      </c>
      <c r="C41" s="3" t="s">
        <v>113</v>
      </c>
      <c r="D41" s="3" t="s">
        <v>2</v>
      </c>
      <c r="E41" s="3">
        <v>6</v>
      </c>
      <c r="F41" s="3">
        <v>72</v>
      </c>
      <c r="G41" s="3">
        <v>900</v>
      </c>
      <c r="H41" s="3">
        <f t="shared" si="0"/>
        <v>1170</v>
      </c>
    </row>
    <row r="42" spans="1:8" x14ac:dyDescent="0.25">
      <c r="A42" s="3" t="s">
        <v>171</v>
      </c>
      <c r="B42" s="3" t="s">
        <v>59</v>
      </c>
      <c r="C42" s="3" t="s">
        <v>13</v>
      </c>
      <c r="D42" s="3" t="s">
        <v>130</v>
      </c>
      <c r="E42" s="3">
        <v>6</v>
      </c>
      <c r="F42" s="3">
        <v>8</v>
      </c>
      <c r="G42" s="3">
        <v>1250</v>
      </c>
      <c r="H42" s="3">
        <f t="shared" si="0"/>
        <v>1625</v>
      </c>
    </row>
    <row r="43" spans="1:8" x14ac:dyDescent="0.25">
      <c r="A43" s="3" t="s">
        <v>172</v>
      </c>
      <c r="B43" s="3" t="s">
        <v>60</v>
      </c>
      <c r="C43" s="3" t="s">
        <v>13</v>
      </c>
      <c r="D43" s="3" t="s">
        <v>130</v>
      </c>
      <c r="E43" s="3">
        <v>6</v>
      </c>
      <c r="F43" s="3">
        <v>24</v>
      </c>
      <c r="G43" s="3">
        <v>1300</v>
      </c>
      <c r="H43" s="3">
        <f t="shared" si="0"/>
        <v>1690</v>
      </c>
    </row>
    <row r="44" spans="1:8" x14ac:dyDescent="0.25">
      <c r="A44" s="3" t="s">
        <v>173</v>
      </c>
      <c r="B44" s="3" t="s">
        <v>0</v>
      </c>
      <c r="C44" s="3" t="s">
        <v>13</v>
      </c>
      <c r="D44" s="3" t="s">
        <v>130</v>
      </c>
      <c r="E44" s="3">
        <v>6</v>
      </c>
      <c r="F44" s="3">
        <v>8</v>
      </c>
      <c r="G44" s="3">
        <v>850</v>
      </c>
      <c r="H44" s="3">
        <f t="shared" si="0"/>
        <v>1105</v>
      </c>
    </row>
    <row r="45" spans="1:8" x14ac:dyDescent="0.25">
      <c r="A45" s="3" t="s">
        <v>174</v>
      </c>
      <c r="B45" s="3" t="s">
        <v>58</v>
      </c>
      <c r="C45" s="3" t="s">
        <v>13</v>
      </c>
      <c r="D45" s="3" t="s">
        <v>130</v>
      </c>
      <c r="E45" s="3">
        <v>6</v>
      </c>
      <c r="F45" s="3">
        <v>2</v>
      </c>
      <c r="G45" s="3">
        <v>1250</v>
      </c>
      <c r="H45" s="3">
        <f t="shared" si="0"/>
        <v>1625</v>
      </c>
    </row>
    <row r="46" spans="1:8" x14ac:dyDescent="0.25">
      <c r="A46" s="3" t="s">
        <v>175</v>
      </c>
      <c r="B46" s="3" t="s">
        <v>61</v>
      </c>
      <c r="C46" s="3" t="s">
        <v>13</v>
      </c>
      <c r="D46" s="3" t="s">
        <v>130</v>
      </c>
      <c r="E46" s="3">
        <v>6</v>
      </c>
      <c r="F46" s="3">
        <v>4</v>
      </c>
      <c r="G46" s="3">
        <v>1500</v>
      </c>
      <c r="H46" s="3">
        <f t="shared" si="0"/>
        <v>1950</v>
      </c>
    </row>
    <row r="47" spans="1:8" x14ac:dyDescent="0.25">
      <c r="A47" s="3" t="s">
        <v>176</v>
      </c>
      <c r="B47" s="3" t="s">
        <v>62</v>
      </c>
      <c r="C47" s="3" t="s">
        <v>13</v>
      </c>
      <c r="D47" s="3" t="s">
        <v>130</v>
      </c>
      <c r="E47" s="3">
        <v>6</v>
      </c>
      <c r="F47" s="3">
        <v>8</v>
      </c>
      <c r="G47" s="3">
        <v>1200</v>
      </c>
      <c r="H47" s="3">
        <f t="shared" si="0"/>
        <v>1560</v>
      </c>
    </row>
    <row r="48" spans="1:8" x14ac:dyDescent="0.25">
      <c r="A48" s="3" t="s">
        <v>177</v>
      </c>
      <c r="B48" s="3" t="s">
        <v>6</v>
      </c>
      <c r="C48" s="3" t="s">
        <v>17</v>
      </c>
      <c r="D48" s="3" t="s">
        <v>130</v>
      </c>
      <c r="E48" s="3">
        <v>6</v>
      </c>
      <c r="F48" s="3">
        <v>12</v>
      </c>
      <c r="G48" s="3">
        <v>1400</v>
      </c>
      <c r="H48" s="3">
        <f t="shared" si="0"/>
        <v>1820</v>
      </c>
    </row>
    <row r="49" spans="1:8" x14ac:dyDescent="0.25">
      <c r="A49" s="3" t="s">
        <v>178</v>
      </c>
      <c r="B49" s="3" t="s">
        <v>1</v>
      </c>
      <c r="C49" s="3" t="s">
        <v>17</v>
      </c>
      <c r="D49" s="3" t="s">
        <v>130</v>
      </c>
      <c r="E49" s="3">
        <v>6</v>
      </c>
      <c r="F49" s="3">
        <v>93</v>
      </c>
      <c r="G49" s="3">
        <v>1500</v>
      </c>
      <c r="H49" s="3">
        <f t="shared" si="0"/>
        <v>1950</v>
      </c>
    </row>
    <row r="50" spans="1:8" x14ac:dyDescent="0.25">
      <c r="A50" s="3" t="s">
        <v>179</v>
      </c>
      <c r="B50" s="3" t="s">
        <v>63</v>
      </c>
      <c r="C50" s="3" t="s">
        <v>13</v>
      </c>
      <c r="D50" s="3" t="s">
        <v>130</v>
      </c>
      <c r="E50" s="3">
        <v>6</v>
      </c>
      <c r="F50" s="3">
        <v>4</v>
      </c>
      <c r="G50" s="3">
        <v>1650</v>
      </c>
      <c r="H50" s="3">
        <f t="shared" si="0"/>
        <v>2145</v>
      </c>
    </row>
    <row r="51" spans="1:8" x14ac:dyDescent="0.25">
      <c r="A51" s="3" t="s">
        <v>180</v>
      </c>
      <c r="B51" s="3" t="s">
        <v>64</v>
      </c>
      <c r="C51" s="3" t="s">
        <v>17</v>
      </c>
      <c r="D51" s="3" t="s">
        <v>127</v>
      </c>
      <c r="E51" s="3">
        <v>6</v>
      </c>
      <c r="F51" s="3">
        <v>16</v>
      </c>
      <c r="G51" s="3">
        <v>1700</v>
      </c>
      <c r="H51" s="3">
        <f t="shared" si="0"/>
        <v>2210</v>
      </c>
    </row>
    <row r="52" spans="1:8" x14ac:dyDescent="0.25">
      <c r="A52" s="3" t="s">
        <v>181</v>
      </c>
      <c r="B52" s="5" t="s">
        <v>66</v>
      </c>
      <c r="C52" s="5" t="s">
        <v>114</v>
      </c>
      <c r="D52" s="5" t="s">
        <v>130</v>
      </c>
      <c r="E52" s="5">
        <v>6</v>
      </c>
      <c r="F52" s="5">
        <v>18</v>
      </c>
      <c r="G52" s="5">
        <v>2500</v>
      </c>
      <c r="H52" s="3">
        <f t="shared" si="0"/>
        <v>3250</v>
      </c>
    </row>
    <row r="53" spans="1:8" x14ac:dyDescent="0.25">
      <c r="A53" s="3" t="s">
        <v>182</v>
      </c>
      <c r="B53" s="3" t="s">
        <v>65</v>
      </c>
      <c r="C53" s="3" t="s">
        <v>114</v>
      </c>
      <c r="D53" s="3" t="s">
        <v>130</v>
      </c>
      <c r="E53" s="3">
        <v>6</v>
      </c>
      <c r="F53" s="3">
        <v>4</v>
      </c>
      <c r="G53" s="3">
        <v>2300</v>
      </c>
      <c r="H53" s="3">
        <f t="shared" si="0"/>
        <v>2990</v>
      </c>
    </row>
    <row r="54" spans="1:8" x14ac:dyDescent="0.25">
      <c r="A54" s="3" t="s">
        <v>183</v>
      </c>
      <c r="B54" s="3" t="s">
        <v>67</v>
      </c>
      <c r="C54" s="3" t="s">
        <v>114</v>
      </c>
      <c r="D54" s="3" t="s">
        <v>130</v>
      </c>
      <c r="E54" s="3">
        <v>6</v>
      </c>
      <c r="F54" s="3">
        <v>5</v>
      </c>
      <c r="G54" s="3">
        <v>2300</v>
      </c>
      <c r="H54" s="3">
        <f t="shared" si="0"/>
        <v>2990</v>
      </c>
    </row>
    <row r="55" spans="1:8" x14ac:dyDescent="0.25">
      <c r="A55" s="3" t="s">
        <v>184</v>
      </c>
      <c r="B55" s="3" t="s">
        <v>68</v>
      </c>
      <c r="C55" s="3" t="s">
        <v>114</v>
      </c>
      <c r="D55" s="3" t="s">
        <v>130</v>
      </c>
      <c r="E55" s="3">
        <v>6</v>
      </c>
      <c r="F55" s="3">
        <v>15</v>
      </c>
      <c r="G55" s="3">
        <v>2300</v>
      </c>
      <c r="H55" s="3">
        <f t="shared" si="0"/>
        <v>2990</v>
      </c>
    </row>
    <row r="56" spans="1:8" x14ac:dyDescent="0.25">
      <c r="A56" s="3" t="s">
        <v>185</v>
      </c>
      <c r="B56" s="3" t="s">
        <v>69</v>
      </c>
      <c r="C56" s="3" t="s">
        <v>114</v>
      </c>
      <c r="D56" s="3" t="s">
        <v>130</v>
      </c>
      <c r="E56" s="3">
        <v>6</v>
      </c>
      <c r="F56" s="3">
        <v>15</v>
      </c>
      <c r="G56" s="3">
        <v>2500</v>
      </c>
      <c r="H56" s="3">
        <f t="shared" si="0"/>
        <v>3250</v>
      </c>
    </row>
    <row r="57" spans="1:8" x14ac:dyDescent="0.25">
      <c r="A57" s="3" t="s">
        <v>186</v>
      </c>
      <c r="B57" s="3" t="s">
        <v>70</v>
      </c>
      <c r="C57" s="3" t="s">
        <v>115</v>
      </c>
      <c r="D57" s="3" t="s">
        <v>130</v>
      </c>
      <c r="E57" s="3">
        <v>6</v>
      </c>
      <c r="F57" s="3">
        <v>15</v>
      </c>
      <c r="G57" s="3">
        <v>1950</v>
      </c>
      <c r="H57" s="3">
        <f t="shared" si="0"/>
        <v>2535</v>
      </c>
    </row>
    <row r="58" spans="1:8" x14ac:dyDescent="0.25">
      <c r="A58" s="3" t="s">
        <v>187</v>
      </c>
      <c r="B58" s="3" t="s">
        <v>71</v>
      </c>
      <c r="C58" s="3" t="s">
        <v>19</v>
      </c>
      <c r="D58" s="3" t="s">
        <v>130</v>
      </c>
      <c r="E58" s="3">
        <v>6</v>
      </c>
      <c r="F58" s="3">
        <v>7</v>
      </c>
      <c r="G58" s="3">
        <v>3000</v>
      </c>
      <c r="H58" s="3">
        <f t="shared" si="0"/>
        <v>3900</v>
      </c>
    </row>
    <row r="59" spans="1:8" x14ac:dyDescent="0.25">
      <c r="A59" s="3" t="s">
        <v>188</v>
      </c>
      <c r="B59" s="3" t="s">
        <v>72</v>
      </c>
      <c r="C59" s="3" t="s">
        <v>114</v>
      </c>
      <c r="D59" s="3" t="s">
        <v>130</v>
      </c>
      <c r="E59" s="3">
        <v>6</v>
      </c>
      <c r="F59" s="3">
        <v>5</v>
      </c>
      <c r="G59" s="3">
        <v>3650</v>
      </c>
      <c r="H59" s="3">
        <f t="shared" si="0"/>
        <v>4745</v>
      </c>
    </row>
    <row r="60" spans="1:8" x14ac:dyDescent="0.25">
      <c r="A60" s="3" t="s">
        <v>189</v>
      </c>
      <c r="B60" s="5" t="s">
        <v>73</v>
      </c>
      <c r="C60" s="5" t="s">
        <v>114</v>
      </c>
      <c r="D60" s="5" t="s">
        <v>130</v>
      </c>
      <c r="E60" s="5">
        <v>6</v>
      </c>
      <c r="F60" s="5">
        <v>5</v>
      </c>
      <c r="G60" s="5">
        <v>2600</v>
      </c>
      <c r="H60" s="3">
        <f t="shared" si="0"/>
        <v>3380</v>
      </c>
    </row>
    <row r="61" spans="1:8" x14ac:dyDescent="0.25">
      <c r="A61" s="3" t="s">
        <v>190</v>
      </c>
      <c r="B61" s="3" t="s">
        <v>74</v>
      </c>
      <c r="C61" s="3" t="s">
        <v>19</v>
      </c>
      <c r="D61" s="3" t="s">
        <v>130</v>
      </c>
      <c r="E61" s="3">
        <v>6</v>
      </c>
      <c r="F61" s="3">
        <v>9</v>
      </c>
      <c r="G61" s="3">
        <v>2800</v>
      </c>
      <c r="H61" s="3">
        <f t="shared" si="0"/>
        <v>3640</v>
      </c>
    </row>
    <row r="62" spans="1:8" x14ac:dyDescent="0.25">
      <c r="A62" s="3" t="s">
        <v>191</v>
      </c>
      <c r="B62" s="3" t="s">
        <v>123</v>
      </c>
      <c r="C62" s="3" t="s">
        <v>19</v>
      </c>
      <c r="D62" s="3" t="s">
        <v>130</v>
      </c>
      <c r="E62" s="3">
        <v>6</v>
      </c>
      <c r="F62" s="3">
        <v>12</v>
      </c>
      <c r="G62" s="3">
        <v>2400</v>
      </c>
      <c r="H62" s="3">
        <f t="shared" si="0"/>
        <v>3120</v>
      </c>
    </row>
    <row r="63" spans="1:8" x14ac:dyDescent="0.25">
      <c r="A63" s="3" t="s">
        <v>192</v>
      </c>
      <c r="B63" s="3" t="s">
        <v>75</v>
      </c>
      <c r="C63" s="3" t="s">
        <v>19</v>
      </c>
      <c r="D63" s="3" t="s">
        <v>130</v>
      </c>
      <c r="E63" s="3">
        <v>6</v>
      </c>
      <c r="F63" s="3">
        <v>15</v>
      </c>
      <c r="G63" s="3">
        <v>2500</v>
      </c>
      <c r="H63" s="3">
        <f t="shared" si="0"/>
        <v>3250</v>
      </c>
    </row>
    <row r="64" spans="1:8" x14ac:dyDescent="0.25">
      <c r="A64" s="3" t="s">
        <v>193</v>
      </c>
      <c r="B64" s="3" t="s">
        <v>76</v>
      </c>
      <c r="C64" s="3" t="s">
        <v>19</v>
      </c>
      <c r="D64" s="3" t="s">
        <v>127</v>
      </c>
      <c r="E64" s="3">
        <v>6</v>
      </c>
      <c r="F64" s="3">
        <v>3</v>
      </c>
      <c r="G64" s="3">
        <v>2300</v>
      </c>
      <c r="H64" s="3">
        <f t="shared" si="0"/>
        <v>2990</v>
      </c>
    </row>
    <row r="65" spans="1:8" x14ac:dyDescent="0.25">
      <c r="A65" s="3" t="s">
        <v>194</v>
      </c>
      <c r="B65" s="3" t="s">
        <v>77</v>
      </c>
      <c r="C65" s="3" t="s">
        <v>17</v>
      </c>
      <c r="D65" s="3" t="s">
        <v>130</v>
      </c>
      <c r="E65" s="3">
        <v>6</v>
      </c>
      <c r="F65" s="3">
        <v>4</v>
      </c>
      <c r="G65" s="3">
        <v>1900</v>
      </c>
      <c r="H65" s="3">
        <f t="shared" si="0"/>
        <v>2470</v>
      </c>
    </row>
    <row r="66" spans="1:8" x14ac:dyDescent="0.25">
      <c r="A66" s="3" t="s">
        <v>195</v>
      </c>
      <c r="B66" s="3" t="s">
        <v>78</v>
      </c>
      <c r="C66" s="3" t="s">
        <v>13</v>
      </c>
      <c r="D66" s="3" t="s">
        <v>130</v>
      </c>
      <c r="E66" s="3">
        <v>6</v>
      </c>
      <c r="F66" s="3">
        <v>8</v>
      </c>
      <c r="G66" s="3">
        <v>2300</v>
      </c>
      <c r="H66" s="3">
        <f t="shared" si="0"/>
        <v>2990</v>
      </c>
    </row>
    <row r="67" spans="1:8" x14ac:dyDescent="0.25">
      <c r="A67" s="3" t="s">
        <v>196</v>
      </c>
      <c r="B67" s="3" t="s">
        <v>79</v>
      </c>
      <c r="C67" s="3" t="s">
        <v>13</v>
      </c>
      <c r="D67" s="3" t="s">
        <v>130</v>
      </c>
      <c r="E67" s="3">
        <v>6</v>
      </c>
      <c r="F67" s="3">
        <v>6</v>
      </c>
      <c r="G67" s="3">
        <v>2400</v>
      </c>
      <c r="H67" s="3">
        <f t="shared" ref="H67:H106" si="1">+G67*1.3</f>
        <v>3120</v>
      </c>
    </row>
    <row r="68" spans="1:8" x14ac:dyDescent="0.25">
      <c r="A68" s="3" t="s">
        <v>197</v>
      </c>
      <c r="B68" s="3" t="s">
        <v>80</v>
      </c>
      <c r="C68" s="3" t="s">
        <v>19</v>
      </c>
      <c r="D68" s="3" t="s">
        <v>130</v>
      </c>
      <c r="E68" s="3">
        <v>6</v>
      </c>
      <c r="F68" s="3">
        <v>5</v>
      </c>
      <c r="G68" s="3">
        <v>2300</v>
      </c>
      <c r="H68" s="3">
        <f t="shared" si="1"/>
        <v>2990</v>
      </c>
    </row>
    <row r="69" spans="1:8" x14ac:dyDescent="0.25">
      <c r="A69" s="3" t="s">
        <v>198</v>
      </c>
      <c r="B69" s="3" t="s">
        <v>81</v>
      </c>
      <c r="C69" s="3" t="s">
        <v>19</v>
      </c>
      <c r="D69" s="3" t="s">
        <v>130</v>
      </c>
      <c r="E69" s="3">
        <v>6</v>
      </c>
      <c r="F69" s="3">
        <v>2</v>
      </c>
      <c r="G69" s="3">
        <v>3300</v>
      </c>
      <c r="H69" s="3">
        <f t="shared" si="1"/>
        <v>4290</v>
      </c>
    </row>
    <row r="70" spans="1:8" x14ac:dyDescent="0.25">
      <c r="A70" s="3" t="s">
        <v>199</v>
      </c>
      <c r="B70" s="3" t="s">
        <v>82</v>
      </c>
      <c r="C70" s="3" t="s">
        <v>14</v>
      </c>
      <c r="D70" s="3" t="s">
        <v>130</v>
      </c>
      <c r="E70" s="3">
        <v>6</v>
      </c>
      <c r="F70" s="3">
        <v>4</v>
      </c>
      <c r="G70" s="3">
        <v>1750</v>
      </c>
      <c r="H70" s="3">
        <f t="shared" si="1"/>
        <v>2275</v>
      </c>
    </row>
    <row r="71" spans="1:8" x14ac:dyDescent="0.25">
      <c r="A71" s="3" t="s">
        <v>200</v>
      </c>
      <c r="B71" s="3" t="s">
        <v>83</v>
      </c>
      <c r="C71" s="3" t="s">
        <v>13</v>
      </c>
      <c r="D71" s="3" t="s">
        <v>130</v>
      </c>
      <c r="E71" s="3">
        <v>6</v>
      </c>
      <c r="F71" s="3">
        <v>4</v>
      </c>
      <c r="G71" s="3">
        <v>2300</v>
      </c>
      <c r="H71" s="3">
        <f t="shared" si="1"/>
        <v>2990</v>
      </c>
    </row>
    <row r="72" spans="1:8" x14ac:dyDescent="0.25">
      <c r="A72" s="3" t="s">
        <v>201</v>
      </c>
      <c r="B72" s="3" t="s">
        <v>84</v>
      </c>
      <c r="C72" s="3" t="s">
        <v>13</v>
      </c>
      <c r="D72" s="3" t="s">
        <v>130</v>
      </c>
      <c r="E72" s="3">
        <v>6</v>
      </c>
      <c r="F72" s="3">
        <v>12</v>
      </c>
      <c r="G72" s="3">
        <v>1900</v>
      </c>
      <c r="H72" s="3">
        <f t="shared" si="1"/>
        <v>2470</v>
      </c>
    </row>
    <row r="73" spans="1:8" x14ac:dyDescent="0.25">
      <c r="A73" s="3" t="s">
        <v>202</v>
      </c>
      <c r="B73" s="3" t="s">
        <v>85</v>
      </c>
      <c r="C73" s="3" t="s">
        <v>20</v>
      </c>
      <c r="D73" s="3" t="s">
        <v>130</v>
      </c>
      <c r="E73" s="3">
        <v>6</v>
      </c>
      <c r="F73" s="3">
        <v>73</v>
      </c>
      <c r="G73" s="3">
        <v>1850</v>
      </c>
      <c r="H73" s="3">
        <f t="shared" si="1"/>
        <v>2405</v>
      </c>
    </row>
    <row r="74" spans="1:8" x14ac:dyDescent="0.25">
      <c r="A74" s="3" t="s">
        <v>203</v>
      </c>
      <c r="B74" s="3" t="s">
        <v>86</v>
      </c>
      <c r="C74" s="3" t="s">
        <v>114</v>
      </c>
      <c r="D74" s="3" t="s">
        <v>130</v>
      </c>
      <c r="E74" s="3">
        <v>6</v>
      </c>
      <c r="F74" s="3">
        <v>21</v>
      </c>
      <c r="G74" s="3">
        <v>2500</v>
      </c>
      <c r="H74" s="3">
        <f t="shared" si="1"/>
        <v>3250</v>
      </c>
    </row>
    <row r="75" spans="1:8" x14ac:dyDescent="0.25">
      <c r="A75" s="3" t="s">
        <v>204</v>
      </c>
      <c r="B75" s="3" t="s">
        <v>87</v>
      </c>
      <c r="C75" s="3" t="s">
        <v>20</v>
      </c>
      <c r="D75" s="3" t="s">
        <v>127</v>
      </c>
      <c r="E75" s="3">
        <v>6</v>
      </c>
      <c r="F75" s="3">
        <v>6</v>
      </c>
      <c r="G75" s="3">
        <v>1800</v>
      </c>
      <c r="H75" s="3">
        <f t="shared" si="1"/>
        <v>2340</v>
      </c>
    </row>
    <row r="76" spans="1:8" x14ac:dyDescent="0.25">
      <c r="A76" s="3" t="s">
        <v>205</v>
      </c>
      <c r="B76" s="3" t="s">
        <v>5</v>
      </c>
      <c r="C76" s="3" t="s">
        <v>17</v>
      </c>
      <c r="D76" s="3" t="s">
        <v>130</v>
      </c>
      <c r="E76" s="3">
        <v>6</v>
      </c>
      <c r="F76" s="3">
        <v>33</v>
      </c>
      <c r="G76" s="3">
        <v>2400</v>
      </c>
      <c r="H76" s="3">
        <f t="shared" si="1"/>
        <v>3120</v>
      </c>
    </row>
    <row r="77" spans="1:8" x14ac:dyDescent="0.25">
      <c r="A77" s="3" t="s">
        <v>206</v>
      </c>
      <c r="B77" s="3" t="s">
        <v>88</v>
      </c>
      <c r="C77" s="3" t="s">
        <v>113</v>
      </c>
      <c r="D77" s="3" t="s">
        <v>2</v>
      </c>
      <c r="E77" s="3">
        <v>6</v>
      </c>
      <c r="F77" s="3">
        <v>39</v>
      </c>
      <c r="G77" s="3">
        <v>1350</v>
      </c>
      <c r="H77" s="3">
        <f t="shared" si="1"/>
        <v>1755</v>
      </c>
    </row>
    <row r="78" spans="1:8" x14ac:dyDescent="0.25">
      <c r="A78" s="3" t="s">
        <v>207</v>
      </c>
      <c r="B78" s="3" t="s">
        <v>42</v>
      </c>
      <c r="C78" s="3" t="s">
        <v>113</v>
      </c>
      <c r="D78" s="3" t="s">
        <v>2</v>
      </c>
      <c r="E78" s="3">
        <v>6</v>
      </c>
      <c r="F78" s="3">
        <v>15</v>
      </c>
      <c r="G78" s="3">
        <v>1350</v>
      </c>
      <c r="H78" s="3">
        <f t="shared" si="1"/>
        <v>1755</v>
      </c>
    </row>
    <row r="79" spans="1:8" x14ac:dyDescent="0.25">
      <c r="A79" s="3" t="s">
        <v>208</v>
      </c>
      <c r="B79" s="3" t="s">
        <v>89</v>
      </c>
      <c r="C79" s="3" t="s">
        <v>15</v>
      </c>
      <c r="D79" s="3" t="s">
        <v>128</v>
      </c>
      <c r="E79" s="3">
        <v>6</v>
      </c>
      <c r="F79" s="3">
        <v>33</v>
      </c>
      <c r="G79" s="3">
        <v>1550</v>
      </c>
      <c r="H79" s="3">
        <f t="shared" si="1"/>
        <v>2015</v>
      </c>
    </row>
    <row r="80" spans="1:8" x14ac:dyDescent="0.25">
      <c r="A80" s="3" t="s">
        <v>209</v>
      </c>
      <c r="B80" s="3" t="s">
        <v>120</v>
      </c>
      <c r="C80" s="3" t="s">
        <v>15</v>
      </c>
      <c r="D80" s="3" t="s">
        <v>129</v>
      </c>
      <c r="E80" s="3">
        <v>6</v>
      </c>
      <c r="F80" s="3">
        <v>13</v>
      </c>
      <c r="G80" s="3">
        <v>1350</v>
      </c>
      <c r="H80" s="3">
        <f t="shared" si="1"/>
        <v>1755</v>
      </c>
    </row>
    <row r="81" spans="1:8" x14ac:dyDescent="0.25">
      <c r="A81" s="3" t="s">
        <v>210</v>
      </c>
      <c r="B81" s="3" t="s">
        <v>100</v>
      </c>
      <c r="C81" s="3" t="s">
        <v>117</v>
      </c>
      <c r="D81" s="3" t="s">
        <v>129</v>
      </c>
      <c r="E81" s="3">
        <v>6</v>
      </c>
      <c r="F81" s="3">
        <v>11</v>
      </c>
      <c r="G81" s="3">
        <v>1200</v>
      </c>
      <c r="H81" s="3">
        <f t="shared" si="1"/>
        <v>1560</v>
      </c>
    </row>
    <row r="82" spans="1:8" x14ac:dyDescent="0.25">
      <c r="A82" s="3" t="s">
        <v>211</v>
      </c>
      <c r="B82" s="3" t="s">
        <v>121</v>
      </c>
      <c r="C82" s="3" t="s">
        <v>122</v>
      </c>
      <c r="D82" s="3" t="s">
        <v>129</v>
      </c>
      <c r="E82" s="3">
        <v>6</v>
      </c>
      <c r="F82" s="3">
        <v>2</v>
      </c>
      <c r="G82" s="3">
        <v>1600</v>
      </c>
      <c r="H82" s="3">
        <f t="shared" si="1"/>
        <v>2080</v>
      </c>
    </row>
    <row r="83" spans="1:8" x14ac:dyDescent="0.25">
      <c r="A83" s="3" t="s">
        <v>212</v>
      </c>
      <c r="B83" s="3" t="s">
        <v>90</v>
      </c>
      <c r="C83" s="3" t="s">
        <v>15</v>
      </c>
      <c r="D83" s="3" t="s">
        <v>129</v>
      </c>
      <c r="E83" s="3">
        <v>6</v>
      </c>
      <c r="F83" s="3">
        <v>30</v>
      </c>
      <c r="G83" s="3">
        <v>1450</v>
      </c>
      <c r="H83" s="3">
        <f t="shared" si="1"/>
        <v>1885</v>
      </c>
    </row>
    <row r="84" spans="1:8" x14ac:dyDescent="0.25">
      <c r="A84" s="3" t="s">
        <v>213</v>
      </c>
      <c r="B84" s="3" t="s">
        <v>91</v>
      </c>
      <c r="C84" s="3" t="s">
        <v>116</v>
      </c>
      <c r="D84" s="3" t="s">
        <v>130</v>
      </c>
      <c r="E84" s="3">
        <v>6</v>
      </c>
      <c r="F84" s="3">
        <v>7</v>
      </c>
      <c r="G84" s="3">
        <v>3000</v>
      </c>
      <c r="H84" s="3">
        <f t="shared" si="1"/>
        <v>3900</v>
      </c>
    </row>
    <row r="85" spans="1:8" x14ac:dyDescent="0.25">
      <c r="A85" s="3" t="s">
        <v>214</v>
      </c>
      <c r="B85" s="3" t="s">
        <v>92</v>
      </c>
      <c r="C85" s="3" t="s">
        <v>116</v>
      </c>
      <c r="D85" s="3" t="s">
        <v>130</v>
      </c>
      <c r="E85" s="3">
        <v>6</v>
      </c>
      <c r="F85" s="3">
        <v>5</v>
      </c>
      <c r="G85" s="3">
        <v>4500</v>
      </c>
      <c r="H85" s="3">
        <f t="shared" si="1"/>
        <v>5850</v>
      </c>
    </row>
    <row r="86" spans="1:8" x14ac:dyDescent="0.25">
      <c r="A86" s="3" t="s">
        <v>215</v>
      </c>
      <c r="B86" s="3" t="s">
        <v>93</v>
      </c>
      <c r="C86" s="3" t="s">
        <v>116</v>
      </c>
      <c r="D86" s="3" t="s">
        <v>130</v>
      </c>
      <c r="E86" s="3">
        <v>6</v>
      </c>
      <c r="F86" s="3">
        <v>6</v>
      </c>
      <c r="G86" s="3">
        <v>4500</v>
      </c>
      <c r="H86" s="3">
        <f t="shared" si="1"/>
        <v>5850</v>
      </c>
    </row>
    <row r="87" spans="1:8" x14ac:dyDescent="0.25">
      <c r="A87" s="3" t="s">
        <v>216</v>
      </c>
      <c r="B87" s="3" t="s">
        <v>94</v>
      </c>
      <c r="C87" s="3" t="s">
        <v>16</v>
      </c>
      <c r="D87" s="3" t="s">
        <v>130</v>
      </c>
      <c r="E87" s="3">
        <v>6</v>
      </c>
      <c r="F87" s="3">
        <v>6</v>
      </c>
      <c r="G87" s="3">
        <v>2600</v>
      </c>
      <c r="H87" s="3">
        <f t="shared" si="1"/>
        <v>3380</v>
      </c>
    </row>
    <row r="88" spans="1:8" x14ac:dyDescent="0.25">
      <c r="A88" s="3" t="s">
        <v>217</v>
      </c>
      <c r="B88" s="3" t="s">
        <v>95</v>
      </c>
      <c r="C88" s="3" t="s">
        <v>16</v>
      </c>
      <c r="D88" s="3" t="s">
        <v>130</v>
      </c>
      <c r="E88" s="3">
        <v>6</v>
      </c>
      <c r="F88" s="3">
        <v>6</v>
      </c>
      <c r="G88" s="3">
        <v>2750</v>
      </c>
      <c r="H88" s="3">
        <f t="shared" si="1"/>
        <v>3575</v>
      </c>
    </row>
    <row r="89" spans="1:8" x14ac:dyDescent="0.25">
      <c r="A89" s="3" t="s">
        <v>218</v>
      </c>
      <c r="B89" s="3" t="s">
        <v>96</v>
      </c>
      <c r="C89" s="3" t="s">
        <v>16</v>
      </c>
      <c r="D89" s="3" t="s">
        <v>130</v>
      </c>
      <c r="E89" s="3">
        <v>6</v>
      </c>
      <c r="F89" s="3">
        <v>6</v>
      </c>
      <c r="G89" s="3">
        <v>2250</v>
      </c>
      <c r="H89" s="3">
        <f t="shared" si="1"/>
        <v>2925</v>
      </c>
    </row>
    <row r="90" spans="1:8" x14ac:dyDescent="0.25">
      <c r="A90" s="3" t="s">
        <v>219</v>
      </c>
      <c r="B90" s="3" t="s">
        <v>97</v>
      </c>
      <c r="C90" s="3" t="s">
        <v>16</v>
      </c>
      <c r="D90" s="3" t="s">
        <v>130</v>
      </c>
      <c r="E90" s="3">
        <v>6</v>
      </c>
      <c r="F90" s="3">
        <v>6</v>
      </c>
      <c r="G90" s="3">
        <v>1600</v>
      </c>
      <c r="H90" s="3">
        <f t="shared" si="1"/>
        <v>2080</v>
      </c>
    </row>
    <row r="91" spans="1:8" x14ac:dyDescent="0.25">
      <c r="A91" s="3" t="s">
        <v>220</v>
      </c>
      <c r="B91" s="3" t="s">
        <v>98</v>
      </c>
      <c r="C91" s="3" t="s">
        <v>16</v>
      </c>
      <c r="D91" s="3" t="s">
        <v>130</v>
      </c>
      <c r="E91" s="3">
        <v>6</v>
      </c>
      <c r="F91" s="3">
        <v>6</v>
      </c>
      <c r="G91" s="3">
        <v>1950</v>
      </c>
      <c r="H91" s="3">
        <f t="shared" si="1"/>
        <v>2535</v>
      </c>
    </row>
    <row r="92" spans="1:8" x14ac:dyDescent="0.25">
      <c r="A92" s="3" t="s">
        <v>221</v>
      </c>
      <c r="B92" s="3" t="s">
        <v>99</v>
      </c>
      <c r="C92" s="3" t="s">
        <v>16</v>
      </c>
      <c r="D92" s="3" t="s">
        <v>130</v>
      </c>
      <c r="E92" s="3">
        <v>6</v>
      </c>
      <c r="F92" s="3">
        <v>6</v>
      </c>
      <c r="G92" s="3">
        <v>2050</v>
      </c>
      <c r="H92" s="3">
        <f t="shared" si="1"/>
        <v>2665</v>
      </c>
    </row>
    <row r="93" spans="1:8" x14ac:dyDescent="0.25">
      <c r="A93" s="3" t="s">
        <v>222</v>
      </c>
      <c r="B93" s="3" t="s">
        <v>100</v>
      </c>
      <c r="C93" s="3" t="s">
        <v>117</v>
      </c>
      <c r="D93" s="3" t="s">
        <v>129</v>
      </c>
      <c r="E93" s="3">
        <v>6</v>
      </c>
      <c r="F93" s="3">
        <f>16+8</f>
        <v>24</v>
      </c>
      <c r="G93" s="3">
        <v>1200</v>
      </c>
      <c r="H93" s="3">
        <f t="shared" si="1"/>
        <v>1560</v>
      </c>
    </row>
    <row r="94" spans="1:8" x14ac:dyDescent="0.25">
      <c r="A94" s="3" t="s">
        <v>223</v>
      </c>
      <c r="B94" s="3" t="s">
        <v>101</v>
      </c>
      <c r="C94" s="4" t="s">
        <v>20</v>
      </c>
      <c r="D94" s="6">
        <v>46248</v>
      </c>
      <c r="E94" s="3">
        <v>6</v>
      </c>
      <c r="F94" s="3">
        <v>108</v>
      </c>
      <c r="G94" s="3">
        <v>1300</v>
      </c>
      <c r="H94" s="3">
        <f t="shared" si="1"/>
        <v>1690</v>
      </c>
    </row>
    <row r="95" spans="1:8" x14ac:dyDescent="0.25">
      <c r="A95" s="3" t="s">
        <v>224</v>
      </c>
      <c r="B95" s="3" t="s">
        <v>102</v>
      </c>
      <c r="C95" s="4" t="s">
        <v>113</v>
      </c>
      <c r="D95" s="6">
        <v>46248</v>
      </c>
      <c r="E95" s="3">
        <v>6</v>
      </c>
      <c r="F95" s="3">
        <v>8</v>
      </c>
      <c r="G95" s="3">
        <v>1100</v>
      </c>
      <c r="H95" s="3">
        <f t="shared" si="1"/>
        <v>1430</v>
      </c>
    </row>
    <row r="96" spans="1:8" x14ac:dyDescent="0.25">
      <c r="A96" s="3" t="s">
        <v>225</v>
      </c>
      <c r="B96" s="3" t="s">
        <v>103</v>
      </c>
      <c r="C96" s="4" t="s">
        <v>113</v>
      </c>
      <c r="D96" s="6">
        <v>46248</v>
      </c>
      <c r="E96" s="3">
        <v>6</v>
      </c>
      <c r="F96" s="3">
        <v>13</v>
      </c>
      <c r="G96" s="3">
        <v>800</v>
      </c>
      <c r="H96" s="3">
        <f t="shared" si="1"/>
        <v>1040</v>
      </c>
    </row>
    <row r="97" spans="1:8" x14ac:dyDescent="0.25">
      <c r="A97" s="3" t="s">
        <v>226</v>
      </c>
      <c r="B97" s="3" t="s">
        <v>104</v>
      </c>
      <c r="C97" s="4" t="s">
        <v>118</v>
      </c>
      <c r="D97" s="6">
        <v>46248</v>
      </c>
      <c r="E97" s="3">
        <v>6</v>
      </c>
      <c r="F97" s="3">
        <v>4</v>
      </c>
      <c r="G97" s="3">
        <v>1200</v>
      </c>
      <c r="H97" s="3">
        <f t="shared" si="1"/>
        <v>1560</v>
      </c>
    </row>
    <row r="98" spans="1:8" x14ac:dyDescent="0.25">
      <c r="A98" s="3" t="s">
        <v>227</v>
      </c>
      <c r="B98" s="3" t="s">
        <v>105</v>
      </c>
      <c r="C98" s="4" t="s">
        <v>16</v>
      </c>
      <c r="D98" s="6">
        <v>46248</v>
      </c>
      <c r="E98" s="3">
        <v>6</v>
      </c>
      <c r="F98" s="3">
        <v>1</v>
      </c>
      <c r="G98" s="3">
        <v>1500</v>
      </c>
      <c r="H98" s="3">
        <f t="shared" si="1"/>
        <v>1950</v>
      </c>
    </row>
    <row r="99" spans="1:8" x14ac:dyDescent="0.25">
      <c r="A99" s="3" t="s">
        <v>228</v>
      </c>
      <c r="B99" s="3" t="s">
        <v>106</v>
      </c>
      <c r="C99" s="4" t="s">
        <v>15</v>
      </c>
      <c r="D99" s="6">
        <v>46248</v>
      </c>
      <c r="E99" s="3">
        <v>6</v>
      </c>
      <c r="F99" s="3">
        <v>1</v>
      </c>
      <c r="G99" s="3">
        <v>1200</v>
      </c>
      <c r="H99" s="3">
        <f t="shared" si="1"/>
        <v>1560</v>
      </c>
    </row>
    <row r="100" spans="1:8" x14ac:dyDescent="0.25">
      <c r="A100" s="3" t="s">
        <v>229</v>
      </c>
      <c r="B100" s="3" t="s">
        <v>107</v>
      </c>
      <c r="C100" s="4" t="s">
        <v>13</v>
      </c>
      <c r="D100" s="6">
        <v>46248</v>
      </c>
      <c r="E100" s="3">
        <v>6</v>
      </c>
      <c r="F100" s="3">
        <v>6</v>
      </c>
      <c r="G100" s="3">
        <v>1100</v>
      </c>
      <c r="H100" s="3">
        <f t="shared" si="1"/>
        <v>1430</v>
      </c>
    </row>
    <row r="101" spans="1:8" x14ac:dyDescent="0.25">
      <c r="A101" s="3" t="s">
        <v>230</v>
      </c>
      <c r="B101" s="3" t="s">
        <v>108</v>
      </c>
      <c r="C101" s="4" t="s">
        <v>13</v>
      </c>
      <c r="D101" s="6">
        <v>46248</v>
      </c>
      <c r="E101" s="3">
        <v>6</v>
      </c>
      <c r="F101" s="3">
        <v>7</v>
      </c>
      <c r="G101" s="3">
        <v>1350</v>
      </c>
      <c r="H101" s="3">
        <f t="shared" si="1"/>
        <v>1755</v>
      </c>
    </row>
    <row r="102" spans="1:8" x14ac:dyDescent="0.25">
      <c r="A102" s="3" t="s">
        <v>231</v>
      </c>
      <c r="B102" s="3" t="s">
        <v>109</v>
      </c>
      <c r="C102" s="4" t="s">
        <v>13</v>
      </c>
      <c r="D102" s="6">
        <v>46248</v>
      </c>
      <c r="E102" s="3">
        <v>6</v>
      </c>
      <c r="F102" s="3">
        <v>6</v>
      </c>
      <c r="G102" s="3">
        <v>1300</v>
      </c>
      <c r="H102" s="3">
        <f t="shared" si="1"/>
        <v>1690</v>
      </c>
    </row>
    <row r="103" spans="1:8" x14ac:dyDescent="0.25">
      <c r="A103" s="3" t="s">
        <v>232</v>
      </c>
      <c r="B103" s="3" t="s">
        <v>110</v>
      </c>
      <c r="C103" s="3" t="s">
        <v>126</v>
      </c>
      <c r="D103" s="3" t="s">
        <v>8</v>
      </c>
      <c r="F103" s="3">
        <v>7</v>
      </c>
      <c r="G103" s="3">
        <v>600</v>
      </c>
      <c r="H103" s="3">
        <f t="shared" si="1"/>
        <v>780</v>
      </c>
    </row>
    <row r="104" spans="1:8" x14ac:dyDescent="0.25">
      <c r="A104" s="3" t="s">
        <v>233</v>
      </c>
      <c r="B104" s="3" t="s">
        <v>9</v>
      </c>
      <c r="C104" s="3" t="s">
        <v>126</v>
      </c>
      <c r="D104" s="6">
        <v>46248</v>
      </c>
      <c r="F104" s="3">
        <v>37</v>
      </c>
      <c r="G104" s="3">
        <v>200</v>
      </c>
      <c r="H104" s="3">
        <f t="shared" si="1"/>
        <v>260</v>
      </c>
    </row>
    <row r="105" spans="1:8" x14ac:dyDescent="0.25">
      <c r="A105" s="3" t="s">
        <v>234</v>
      </c>
      <c r="B105" s="3" t="s">
        <v>111</v>
      </c>
      <c r="C105" s="3" t="s">
        <v>117</v>
      </c>
      <c r="D105" s="3" t="s">
        <v>129</v>
      </c>
      <c r="F105" s="3">
        <v>7</v>
      </c>
      <c r="G105" s="3">
        <v>1000</v>
      </c>
      <c r="H105" s="3">
        <f t="shared" si="1"/>
        <v>1300</v>
      </c>
    </row>
    <row r="106" spans="1:8" x14ac:dyDescent="0.25">
      <c r="A106" s="3" t="s">
        <v>235</v>
      </c>
      <c r="B106" s="3" t="s">
        <v>112</v>
      </c>
      <c r="C106" s="3" t="s">
        <v>119</v>
      </c>
      <c r="D106" s="3" t="s">
        <v>129</v>
      </c>
      <c r="F106" s="3">
        <v>14</v>
      </c>
      <c r="G106" s="3">
        <v>1150</v>
      </c>
      <c r="H106" s="3">
        <f t="shared" si="1"/>
        <v>1495</v>
      </c>
    </row>
  </sheetData>
  <autoFilter ref="A1:H106" xr:uid="{E07725BA-B3DA-4F10-9329-721B6C8BD8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30Sep26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Ghufran Ashfaq</dc:creator>
  <cp:lastModifiedBy>Ghufran Ashfaq</cp:lastModifiedBy>
  <dcterms:created xsi:type="dcterms:W3CDTF">2015-06-05T18:17:20Z</dcterms:created>
  <dcterms:modified xsi:type="dcterms:W3CDTF">2026-10-03T04:01:30Z</dcterms:modified>
</cp:coreProperties>
</file>